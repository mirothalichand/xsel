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Geoenvironmental Disasters\"/>
    </mc:Choice>
  </mc:AlternateContent>
  <xr:revisionPtr revIDLastSave="0" documentId="13_ncr:1_{862E7D81-45B9-4A86-8A68-902C95CC6B6B}" xr6:coauthVersionLast="44" xr6:coauthVersionMax="44" xr10:uidLastSave="{00000000-0000-0000-0000-000000000000}"/>
  <bookViews>
    <workbookView xWindow="-108" yWindow="-108" windowWidth="23256" windowHeight="12456" xr2:uid="{2C24AEA5-16DB-4441-9675-F10FD3D49A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S2" i="1" l="1"/>
  <c r="J4" i="1" l="1"/>
  <c r="K4" i="1"/>
  <c r="L4" i="1"/>
  <c r="J5" i="1"/>
  <c r="K5" i="1"/>
  <c r="L5" i="1"/>
  <c r="J6" i="1"/>
  <c r="K6" i="1"/>
  <c r="L6" i="1"/>
  <c r="J7" i="1"/>
  <c r="K7" i="1"/>
  <c r="L7" i="1"/>
  <c r="J8" i="1"/>
  <c r="K8" i="1"/>
  <c r="L8" i="1"/>
  <c r="J9" i="1"/>
  <c r="K9" i="1"/>
  <c r="L9" i="1"/>
  <c r="J10" i="1"/>
  <c r="K10" i="1"/>
  <c r="L10" i="1"/>
  <c r="J11" i="1"/>
  <c r="K11" i="1"/>
  <c r="L11" i="1"/>
  <c r="J12" i="1"/>
  <c r="K12" i="1"/>
  <c r="L12" i="1"/>
  <c r="J13" i="1"/>
  <c r="K13" i="1"/>
  <c r="L13" i="1"/>
  <c r="J14" i="1"/>
  <c r="K14" i="1"/>
  <c r="L14" i="1"/>
  <c r="J15" i="1"/>
  <c r="K15" i="1"/>
  <c r="L15" i="1"/>
  <c r="J16" i="1"/>
  <c r="K16" i="1"/>
  <c r="L16" i="1"/>
  <c r="J17" i="1"/>
  <c r="K17" i="1"/>
  <c r="L17" i="1"/>
  <c r="J18" i="1"/>
  <c r="K18" i="1"/>
  <c r="L18" i="1"/>
  <c r="J19" i="1"/>
  <c r="K19" i="1"/>
  <c r="L19" i="1"/>
  <c r="J20" i="1"/>
  <c r="K20" i="1"/>
  <c r="L20" i="1"/>
  <c r="J21" i="1"/>
  <c r="K21" i="1"/>
  <c r="L21" i="1"/>
  <c r="J22" i="1"/>
  <c r="K22" i="1"/>
  <c r="L22" i="1"/>
  <c r="J23" i="1"/>
  <c r="K23" i="1"/>
  <c r="L23" i="1"/>
  <c r="J24" i="1"/>
  <c r="K24" i="1"/>
  <c r="L24" i="1"/>
  <c r="J25" i="1"/>
  <c r="K25" i="1"/>
  <c r="L25" i="1"/>
  <c r="J26" i="1"/>
  <c r="K26" i="1"/>
  <c r="L26" i="1"/>
  <c r="J27" i="1"/>
  <c r="K27" i="1"/>
  <c r="L27" i="1"/>
  <c r="J28" i="1"/>
  <c r="K28" i="1"/>
  <c r="L28" i="1"/>
  <c r="J29" i="1"/>
  <c r="K29" i="1"/>
  <c r="L29" i="1"/>
  <c r="J30" i="1"/>
  <c r="K30" i="1"/>
  <c r="L30" i="1"/>
  <c r="J31" i="1"/>
  <c r="K31" i="1"/>
  <c r="L31" i="1"/>
  <c r="J32" i="1"/>
  <c r="K32" i="1"/>
  <c r="L32" i="1"/>
  <c r="J33" i="1"/>
  <c r="K33" i="1"/>
  <c r="L33" i="1"/>
  <c r="J34" i="1"/>
  <c r="K34" i="1"/>
  <c r="L34" i="1"/>
  <c r="J35" i="1"/>
  <c r="K35" i="1"/>
  <c r="L35" i="1"/>
  <c r="J36" i="1"/>
  <c r="K36" i="1"/>
  <c r="L36" i="1"/>
  <c r="L37" i="1" s="1"/>
  <c r="J37" i="1"/>
  <c r="K37" i="1"/>
  <c r="J38" i="1"/>
  <c r="K38" i="1"/>
  <c r="L38" i="1"/>
  <c r="J39" i="1"/>
  <c r="K39" i="1"/>
  <c r="L39" i="1"/>
  <c r="J40" i="1"/>
  <c r="K40" i="1"/>
  <c r="L40" i="1"/>
  <c r="J41" i="1"/>
  <c r="K41" i="1"/>
  <c r="L41" i="1"/>
  <c r="J42" i="1"/>
  <c r="K42" i="1"/>
  <c r="L42" i="1"/>
  <c r="J43" i="1"/>
  <c r="K43" i="1"/>
  <c r="L43" i="1"/>
  <c r="J44" i="1"/>
  <c r="K44" i="1"/>
  <c r="L44" i="1"/>
  <c r="J45" i="1"/>
  <c r="K45" i="1"/>
  <c r="L45" i="1"/>
  <c r="J46" i="1"/>
  <c r="K46" i="1"/>
  <c r="L46" i="1"/>
  <c r="J47" i="1"/>
  <c r="K47" i="1"/>
  <c r="L47" i="1"/>
  <c r="J48" i="1"/>
  <c r="K48" i="1"/>
  <c r="L48" i="1"/>
  <c r="J49" i="1"/>
  <c r="K49" i="1"/>
  <c r="L49" i="1"/>
  <c r="J50" i="1"/>
  <c r="K50" i="1"/>
  <c r="L50" i="1"/>
  <c r="J51" i="1"/>
  <c r="K51" i="1"/>
  <c r="L51" i="1"/>
  <c r="J52" i="1"/>
  <c r="K52" i="1"/>
  <c r="L52" i="1"/>
  <c r="J53" i="1"/>
  <c r="K53" i="1"/>
  <c r="L53" i="1"/>
  <c r="J54" i="1"/>
  <c r="K54" i="1"/>
  <c r="L54" i="1"/>
  <c r="J55" i="1"/>
  <c r="K55" i="1"/>
  <c r="L55" i="1"/>
  <c r="J56" i="1"/>
  <c r="K56" i="1"/>
  <c r="L56" i="1"/>
  <c r="J57" i="1"/>
  <c r="K57" i="1"/>
  <c r="L57" i="1"/>
  <c r="J58" i="1"/>
  <c r="K58" i="1"/>
  <c r="L58" i="1"/>
  <c r="J59" i="1"/>
  <c r="K59" i="1"/>
  <c r="L59" i="1"/>
  <c r="J60" i="1"/>
  <c r="K60" i="1"/>
  <c r="L60" i="1"/>
  <c r="J61" i="1"/>
  <c r="K61" i="1"/>
  <c r="L61" i="1"/>
  <c r="J62" i="1"/>
  <c r="K62" i="1"/>
  <c r="L62" i="1"/>
  <c r="J63" i="1"/>
  <c r="K63" i="1"/>
  <c r="L63" i="1"/>
  <c r="J64" i="1"/>
  <c r="K64" i="1"/>
  <c r="L64" i="1"/>
  <c r="J65" i="1"/>
  <c r="K65" i="1"/>
  <c r="L65" i="1"/>
  <c r="J66" i="1"/>
  <c r="K66" i="1"/>
  <c r="L66" i="1"/>
  <c r="J67" i="1"/>
  <c r="K67" i="1"/>
  <c r="L67" i="1"/>
  <c r="J68" i="1"/>
  <c r="K68" i="1"/>
  <c r="L68" i="1"/>
  <c r="J69" i="1"/>
  <c r="K69" i="1"/>
  <c r="L69" i="1"/>
  <c r="J70" i="1"/>
  <c r="K70" i="1"/>
  <c r="L70" i="1"/>
  <c r="J71" i="1"/>
  <c r="K71" i="1"/>
  <c r="L71" i="1"/>
  <c r="J72" i="1"/>
  <c r="K72" i="1"/>
  <c r="L72" i="1"/>
  <c r="J73" i="1"/>
  <c r="K73" i="1"/>
  <c r="L73" i="1"/>
  <c r="J74" i="1"/>
  <c r="K74" i="1"/>
  <c r="L74" i="1"/>
  <c r="J75" i="1"/>
  <c r="K75" i="1"/>
  <c r="L75" i="1"/>
  <c r="J76" i="1"/>
  <c r="K76" i="1"/>
  <c r="L76" i="1"/>
  <c r="J77" i="1"/>
  <c r="K77" i="1"/>
  <c r="L77" i="1"/>
  <c r="J78" i="1"/>
  <c r="K78" i="1"/>
  <c r="L78" i="1"/>
  <c r="J79" i="1"/>
  <c r="K79" i="1"/>
  <c r="L79" i="1"/>
  <c r="J80" i="1"/>
  <c r="K80" i="1"/>
  <c r="L80" i="1"/>
  <c r="J81" i="1"/>
  <c r="K81" i="1"/>
  <c r="L81" i="1"/>
  <c r="J82" i="1"/>
  <c r="K82" i="1"/>
  <c r="L82" i="1"/>
  <c r="J83" i="1"/>
  <c r="K83" i="1"/>
  <c r="L83" i="1"/>
  <c r="J84" i="1"/>
  <c r="K84" i="1"/>
  <c r="L84" i="1"/>
  <c r="J85" i="1"/>
  <c r="K85" i="1"/>
  <c r="L85" i="1"/>
  <c r="J86" i="1"/>
  <c r="K86" i="1"/>
  <c r="L86" i="1"/>
  <c r="J87" i="1"/>
  <c r="K87" i="1"/>
  <c r="L87" i="1"/>
  <c r="J88" i="1"/>
  <c r="K88" i="1"/>
  <c r="L88" i="1"/>
  <c r="J89" i="1"/>
  <c r="K89" i="1"/>
  <c r="L89" i="1"/>
  <c r="J90" i="1"/>
  <c r="K90" i="1"/>
  <c r="L90" i="1"/>
  <c r="J91" i="1"/>
  <c r="K91" i="1"/>
  <c r="L91" i="1"/>
  <c r="J92" i="1"/>
  <c r="K92" i="1"/>
  <c r="L92" i="1"/>
  <c r="J93" i="1"/>
  <c r="K93" i="1"/>
  <c r="L93" i="1"/>
  <c r="J94" i="1"/>
  <c r="K94" i="1"/>
  <c r="L94" i="1"/>
  <c r="J95" i="1"/>
  <c r="K95" i="1"/>
  <c r="L95" i="1"/>
  <c r="J96" i="1"/>
  <c r="K96" i="1"/>
  <c r="L96" i="1"/>
  <c r="J97" i="1"/>
  <c r="K97" i="1"/>
  <c r="L97" i="1"/>
  <c r="J98" i="1"/>
  <c r="K98" i="1"/>
  <c r="L98" i="1"/>
  <c r="J99" i="1"/>
  <c r="K99" i="1"/>
  <c r="L99" i="1"/>
  <c r="J100" i="1"/>
  <c r="K100" i="1"/>
  <c r="L100" i="1"/>
  <c r="J101" i="1"/>
  <c r="K101" i="1"/>
  <c r="L101" i="1"/>
  <c r="J102" i="1"/>
  <c r="K102" i="1"/>
  <c r="L102" i="1"/>
  <c r="J103" i="1"/>
  <c r="K103" i="1"/>
  <c r="L103" i="1"/>
  <c r="J104" i="1"/>
  <c r="K104" i="1"/>
  <c r="L104" i="1"/>
  <c r="J105" i="1"/>
  <c r="K105" i="1"/>
  <c r="L105" i="1"/>
  <c r="J106" i="1"/>
  <c r="K106" i="1"/>
  <c r="L106" i="1"/>
  <c r="J107" i="1"/>
  <c r="K107" i="1"/>
  <c r="L107" i="1"/>
  <c r="J108" i="1"/>
  <c r="K108" i="1"/>
  <c r="L108" i="1"/>
  <c r="J109" i="1"/>
  <c r="K109" i="1"/>
  <c r="L109" i="1"/>
  <c r="J110" i="1"/>
  <c r="K110" i="1"/>
  <c r="L110" i="1"/>
  <c r="J111" i="1"/>
  <c r="K111" i="1"/>
  <c r="L111" i="1"/>
  <c r="J112" i="1"/>
  <c r="K112" i="1"/>
  <c r="L112" i="1"/>
  <c r="J113" i="1"/>
  <c r="K113" i="1"/>
  <c r="L113" i="1"/>
  <c r="J114" i="1"/>
  <c r="K114" i="1"/>
  <c r="L114" i="1"/>
  <c r="J115" i="1"/>
  <c r="K115" i="1"/>
  <c r="L115" i="1"/>
  <c r="J116" i="1"/>
  <c r="K116" i="1"/>
  <c r="L116" i="1"/>
  <c r="J117" i="1"/>
  <c r="K117" i="1"/>
  <c r="L117" i="1"/>
  <c r="J118" i="1"/>
  <c r="K118" i="1"/>
  <c r="L118" i="1"/>
  <c r="J119" i="1"/>
  <c r="K119" i="1"/>
  <c r="L119" i="1"/>
  <c r="J120" i="1"/>
  <c r="K120" i="1"/>
  <c r="L120" i="1"/>
  <c r="J121" i="1"/>
  <c r="K121" i="1"/>
  <c r="L121" i="1"/>
  <c r="J122" i="1"/>
  <c r="K122" i="1"/>
  <c r="L122" i="1"/>
  <c r="J123" i="1"/>
  <c r="K123" i="1"/>
  <c r="L123" i="1"/>
  <c r="J124" i="1"/>
  <c r="K124" i="1"/>
  <c r="L124" i="1"/>
  <c r="J125" i="1"/>
  <c r="K125" i="1"/>
  <c r="L125" i="1"/>
  <c r="J126" i="1"/>
  <c r="K126" i="1"/>
  <c r="L126" i="1"/>
  <c r="J127" i="1"/>
  <c r="K127" i="1"/>
  <c r="L127" i="1"/>
  <c r="J128" i="1"/>
  <c r="K128" i="1"/>
  <c r="L128" i="1"/>
  <c r="J129" i="1"/>
  <c r="K129" i="1"/>
  <c r="L129" i="1"/>
  <c r="J130" i="1"/>
  <c r="K130" i="1"/>
  <c r="L130" i="1"/>
  <c r="J131" i="1"/>
  <c r="K131" i="1"/>
  <c r="L131" i="1"/>
  <c r="J132" i="1"/>
  <c r="K132" i="1"/>
  <c r="L132" i="1"/>
  <c r="J133" i="1"/>
  <c r="K133" i="1"/>
  <c r="L133" i="1"/>
  <c r="J134" i="1"/>
  <c r="K134" i="1"/>
  <c r="L134" i="1"/>
  <c r="J135" i="1"/>
  <c r="J136" i="1" s="1"/>
  <c r="K135" i="1"/>
  <c r="L135" i="1"/>
  <c r="K136" i="1"/>
  <c r="L136" i="1"/>
  <c r="K137" i="1"/>
  <c r="L137" i="1"/>
  <c r="J138" i="1"/>
  <c r="K138" i="1"/>
  <c r="L138" i="1"/>
  <c r="J139" i="1"/>
  <c r="K139" i="1"/>
  <c r="J140" i="1"/>
  <c r="K140" i="1"/>
  <c r="J141" i="1"/>
  <c r="K141" i="1"/>
  <c r="J142" i="1"/>
  <c r="K142" i="1"/>
  <c r="L142" i="1"/>
  <c r="J143" i="1"/>
  <c r="K143" i="1"/>
  <c r="L143" i="1"/>
  <c r="J144" i="1"/>
  <c r="K144" i="1"/>
  <c r="L144" i="1"/>
  <c r="J145" i="1"/>
  <c r="K145" i="1"/>
  <c r="L145" i="1"/>
  <c r="J146" i="1"/>
  <c r="K146" i="1"/>
  <c r="L146" i="1"/>
  <c r="J147" i="1"/>
  <c r="K147" i="1"/>
  <c r="L147" i="1"/>
  <c r="J148" i="1"/>
  <c r="K148" i="1"/>
  <c r="L148" i="1"/>
  <c r="J149" i="1"/>
  <c r="K149" i="1"/>
  <c r="L149" i="1"/>
  <c r="J150" i="1"/>
  <c r="K150" i="1"/>
  <c r="L150" i="1"/>
  <c r="J151" i="1"/>
  <c r="K151" i="1"/>
  <c r="L151" i="1"/>
  <c r="J152" i="1"/>
  <c r="K152" i="1"/>
  <c r="J153" i="1"/>
  <c r="K153" i="1"/>
  <c r="J154" i="1"/>
  <c r="K154" i="1"/>
  <c r="L154" i="1"/>
  <c r="J155" i="1"/>
  <c r="K155" i="1"/>
  <c r="L155" i="1"/>
  <c r="L156" i="1" s="1"/>
  <c r="L157" i="1" s="1"/>
  <c r="J156" i="1"/>
  <c r="K156" i="1"/>
  <c r="J157" i="1"/>
  <c r="K157" i="1"/>
  <c r="J158" i="1"/>
  <c r="K158" i="1"/>
  <c r="L158" i="1"/>
  <c r="J159" i="1"/>
  <c r="K159" i="1"/>
  <c r="L159" i="1"/>
  <c r="J160" i="1"/>
  <c r="K160" i="1"/>
  <c r="L160" i="1"/>
  <c r="J161" i="1"/>
  <c r="K161" i="1"/>
  <c r="L161" i="1"/>
  <c r="J162" i="1"/>
  <c r="K162" i="1"/>
  <c r="L162" i="1"/>
  <c r="J163" i="1"/>
  <c r="K163" i="1"/>
  <c r="L163" i="1"/>
  <c r="J164" i="1"/>
  <c r="K164" i="1"/>
  <c r="L164" i="1"/>
  <c r="L165" i="1" s="1"/>
  <c r="J165" i="1"/>
  <c r="K165" i="1"/>
  <c r="J166" i="1"/>
  <c r="K166" i="1"/>
  <c r="L166" i="1"/>
  <c r="J167" i="1"/>
  <c r="K167" i="1"/>
  <c r="L167" i="1"/>
  <c r="J168" i="1"/>
  <c r="K168" i="1"/>
  <c r="L168" i="1"/>
  <c r="J169" i="1"/>
  <c r="K169" i="1"/>
  <c r="L169" i="1"/>
  <c r="J170" i="1"/>
  <c r="K170" i="1"/>
  <c r="L170" i="1"/>
  <c r="J171" i="1"/>
  <c r="K171" i="1"/>
  <c r="L171" i="1"/>
  <c r="J172" i="1"/>
  <c r="K172" i="1"/>
  <c r="L172" i="1"/>
  <c r="J173" i="1"/>
  <c r="K173" i="1"/>
  <c r="L173" i="1"/>
  <c r="J174" i="1"/>
  <c r="K174" i="1"/>
  <c r="L174" i="1"/>
  <c r="J175" i="1"/>
  <c r="K175" i="1"/>
  <c r="L175" i="1"/>
  <c r="J176" i="1"/>
  <c r="K176" i="1"/>
  <c r="L176" i="1"/>
  <c r="J177" i="1"/>
  <c r="K177" i="1"/>
  <c r="L177" i="1"/>
  <c r="J178" i="1"/>
  <c r="K178" i="1"/>
  <c r="L178" i="1"/>
  <c r="J179" i="1"/>
  <c r="K179" i="1"/>
  <c r="L179" i="1"/>
  <c r="J180" i="1"/>
  <c r="K180" i="1"/>
  <c r="L180" i="1"/>
  <c r="J181" i="1"/>
  <c r="K181" i="1"/>
  <c r="L181" i="1"/>
  <c r="J182" i="1"/>
  <c r="K182" i="1"/>
  <c r="L182" i="1"/>
  <c r="J183" i="1"/>
  <c r="K183" i="1"/>
  <c r="L183" i="1"/>
  <c r="J184" i="1"/>
  <c r="K184" i="1"/>
  <c r="L184" i="1"/>
  <c r="J185" i="1"/>
  <c r="K185" i="1"/>
  <c r="L185" i="1"/>
  <c r="J186" i="1"/>
  <c r="K186" i="1"/>
  <c r="L186" i="1"/>
  <c r="J187" i="1"/>
  <c r="K187" i="1"/>
  <c r="L187" i="1"/>
  <c r="J188" i="1"/>
  <c r="K188" i="1"/>
  <c r="L188" i="1"/>
  <c r="J189" i="1"/>
  <c r="K189" i="1"/>
  <c r="L189" i="1"/>
  <c r="J190" i="1"/>
  <c r="K190" i="1"/>
  <c r="L190" i="1"/>
  <c r="J191" i="1"/>
  <c r="K191" i="1"/>
  <c r="L191" i="1"/>
  <c r="J192" i="1"/>
  <c r="K192" i="1"/>
  <c r="L192" i="1"/>
  <c r="J193" i="1"/>
  <c r="K193" i="1"/>
  <c r="L193" i="1"/>
  <c r="J194" i="1"/>
  <c r="K194" i="1"/>
  <c r="L194" i="1"/>
  <c r="J195" i="1"/>
  <c r="K195" i="1"/>
  <c r="L195" i="1"/>
  <c r="J196" i="1"/>
  <c r="K196" i="1"/>
  <c r="L196" i="1"/>
  <c r="J197" i="1"/>
  <c r="K197" i="1"/>
  <c r="L197" i="1"/>
  <c r="J198" i="1"/>
  <c r="K198" i="1"/>
  <c r="L198" i="1"/>
  <c r="J199" i="1"/>
  <c r="K199" i="1"/>
  <c r="L199" i="1"/>
  <c r="J200" i="1"/>
  <c r="K200" i="1"/>
  <c r="L200" i="1"/>
  <c r="J201" i="1"/>
  <c r="K201" i="1"/>
  <c r="L201" i="1"/>
  <c r="J202" i="1"/>
  <c r="K202" i="1"/>
  <c r="L202" i="1"/>
  <c r="J203" i="1"/>
  <c r="K203" i="1"/>
  <c r="L203" i="1"/>
  <c r="J204" i="1"/>
  <c r="K204" i="1"/>
  <c r="L204" i="1"/>
  <c r="J205" i="1"/>
  <c r="K205" i="1"/>
  <c r="L205" i="1"/>
  <c r="J206" i="1"/>
  <c r="K206" i="1"/>
  <c r="L206" i="1"/>
  <c r="J207" i="1"/>
  <c r="K207" i="1"/>
  <c r="L207" i="1"/>
  <c r="J208" i="1"/>
  <c r="K208" i="1"/>
  <c r="L208" i="1"/>
  <c r="J209" i="1"/>
  <c r="K209" i="1"/>
  <c r="L209" i="1"/>
  <c r="J210" i="1"/>
  <c r="K210" i="1"/>
  <c r="L210" i="1"/>
  <c r="J211" i="1"/>
  <c r="K211" i="1"/>
  <c r="L211" i="1"/>
  <c r="J212" i="1"/>
  <c r="K212" i="1"/>
  <c r="L212" i="1"/>
  <c r="J213" i="1"/>
  <c r="K213" i="1"/>
  <c r="L213" i="1"/>
  <c r="J214" i="1"/>
  <c r="K214" i="1"/>
  <c r="L214" i="1"/>
  <c r="J215" i="1"/>
  <c r="K215" i="1"/>
  <c r="L215" i="1"/>
  <c r="J216" i="1"/>
  <c r="K216" i="1"/>
  <c r="L216" i="1"/>
  <c r="J217" i="1"/>
  <c r="K217" i="1"/>
  <c r="L217" i="1"/>
  <c r="J218" i="1"/>
  <c r="K218" i="1"/>
  <c r="L218" i="1"/>
  <c r="J219" i="1"/>
  <c r="K219" i="1"/>
  <c r="L219" i="1"/>
  <c r="J220" i="1"/>
  <c r="K220" i="1"/>
  <c r="L220" i="1"/>
  <c r="J221" i="1"/>
  <c r="K221" i="1"/>
  <c r="L221" i="1"/>
  <c r="J222" i="1"/>
  <c r="K222" i="1"/>
  <c r="L222" i="1"/>
  <c r="J223" i="1"/>
  <c r="K223" i="1"/>
  <c r="L223" i="1"/>
  <c r="J224" i="1"/>
  <c r="K224" i="1"/>
  <c r="L224" i="1"/>
  <c r="J225" i="1"/>
  <c r="K225" i="1"/>
  <c r="L225" i="1"/>
  <c r="J226" i="1"/>
  <c r="K226" i="1"/>
  <c r="L226" i="1"/>
  <c r="J227" i="1"/>
  <c r="K227" i="1"/>
  <c r="L227" i="1"/>
  <c r="J228" i="1"/>
  <c r="K228" i="1"/>
  <c r="L228" i="1"/>
  <c r="J229" i="1"/>
  <c r="K229" i="1"/>
  <c r="L229" i="1"/>
  <c r="J230" i="1"/>
  <c r="K230" i="1"/>
  <c r="L230" i="1"/>
  <c r="J231" i="1"/>
  <c r="K231" i="1"/>
  <c r="L231" i="1"/>
  <c r="J232" i="1"/>
  <c r="K232" i="1"/>
  <c r="L232" i="1"/>
  <c r="J233" i="1"/>
  <c r="K233" i="1"/>
  <c r="L233" i="1"/>
  <c r="J234" i="1"/>
  <c r="K234" i="1"/>
  <c r="L234" i="1"/>
  <c r="J235" i="1"/>
  <c r="K235" i="1"/>
  <c r="L235" i="1"/>
  <c r="J236" i="1"/>
  <c r="K236" i="1"/>
  <c r="L236" i="1"/>
  <c r="J237" i="1"/>
  <c r="K237" i="1"/>
  <c r="L237" i="1"/>
  <c r="J238" i="1"/>
  <c r="K238" i="1"/>
  <c r="L238" i="1"/>
  <c r="J239" i="1"/>
  <c r="K239" i="1"/>
  <c r="L239" i="1"/>
  <c r="J240" i="1"/>
  <c r="K240" i="1"/>
  <c r="L240" i="1"/>
  <c r="J241" i="1"/>
  <c r="K241" i="1"/>
  <c r="L241" i="1"/>
  <c r="J242" i="1"/>
  <c r="K242" i="1"/>
  <c r="L242" i="1"/>
  <c r="J243" i="1"/>
  <c r="K243" i="1"/>
  <c r="L243" i="1"/>
  <c r="J244" i="1"/>
  <c r="K244" i="1"/>
  <c r="L244" i="1"/>
  <c r="J245" i="1"/>
  <c r="K245" i="1"/>
  <c r="L245" i="1"/>
  <c r="J246" i="1"/>
  <c r="K246" i="1"/>
  <c r="L246" i="1"/>
  <c r="J247" i="1"/>
  <c r="K247" i="1"/>
  <c r="L247" i="1"/>
  <c r="J248" i="1"/>
  <c r="K248" i="1"/>
  <c r="L248" i="1"/>
  <c r="J249" i="1"/>
  <c r="K249" i="1"/>
  <c r="L249" i="1"/>
  <c r="J250" i="1"/>
  <c r="K250" i="1"/>
  <c r="L250" i="1"/>
  <c r="J251" i="1"/>
  <c r="K251" i="1"/>
  <c r="L251" i="1"/>
  <c r="J252" i="1"/>
  <c r="K252" i="1"/>
  <c r="L252" i="1"/>
  <c r="J253" i="1"/>
  <c r="K253" i="1"/>
  <c r="L253" i="1"/>
  <c r="J254" i="1"/>
  <c r="K254" i="1"/>
  <c r="L254" i="1"/>
  <c r="J255" i="1"/>
  <c r="K255" i="1"/>
  <c r="L255" i="1"/>
  <c r="J256" i="1"/>
  <c r="K256" i="1"/>
  <c r="L256" i="1"/>
  <c r="J257" i="1"/>
  <c r="K257" i="1"/>
  <c r="L257" i="1"/>
  <c r="J258" i="1"/>
  <c r="K258" i="1"/>
  <c r="L258" i="1"/>
  <c r="J259" i="1"/>
  <c r="K259" i="1"/>
  <c r="L259" i="1"/>
  <c r="J260" i="1"/>
  <c r="K260" i="1"/>
  <c r="L260" i="1"/>
  <c r="J261" i="1"/>
  <c r="K261" i="1"/>
  <c r="L261" i="1"/>
  <c r="J262" i="1"/>
  <c r="K262" i="1"/>
  <c r="L262" i="1"/>
  <c r="J263" i="1"/>
  <c r="K263" i="1"/>
  <c r="L263" i="1"/>
  <c r="J264" i="1"/>
  <c r="K264" i="1"/>
  <c r="L264" i="1"/>
  <c r="J265" i="1"/>
  <c r="K265" i="1"/>
  <c r="L265" i="1"/>
  <c r="J266" i="1"/>
  <c r="K266" i="1"/>
  <c r="L266" i="1"/>
  <c r="J267" i="1"/>
  <c r="K267" i="1"/>
  <c r="L267" i="1"/>
  <c r="J268" i="1"/>
  <c r="K268" i="1"/>
  <c r="L268" i="1"/>
  <c r="J269" i="1"/>
  <c r="K269" i="1"/>
  <c r="L269" i="1"/>
  <c r="J270" i="1"/>
  <c r="K270" i="1"/>
  <c r="L270" i="1"/>
  <c r="J271" i="1"/>
  <c r="K271" i="1"/>
  <c r="L271" i="1"/>
  <c r="J272" i="1"/>
  <c r="K272" i="1"/>
  <c r="L272" i="1"/>
  <c r="J273" i="1"/>
  <c r="K273" i="1"/>
  <c r="L273" i="1"/>
  <c r="J274" i="1"/>
  <c r="K274" i="1"/>
  <c r="L274" i="1"/>
  <c r="J275" i="1"/>
  <c r="K275" i="1"/>
  <c r="L275" i="1"/>
  <c r="J276" i="1"/>
  <c r="K276" i="1"/>
  <c r="L276" i="1"/>
  <c r="J277" i="1"/>
  <c r="K277" i="1"/>
  <c r="L277" i="1"/>
  <c r="J278" i="1"/>
  <c r="K278" i="1"/>
  <c r="L278" i="1"/>
  <c r="J279" i="1"/>
  <c r="K279" i="1"/>
  <c r="L279" i="1"/>
  <c r="J280" i="1"/>
  <c r="K280" i="1"/>
  <c r="L280" i="1"/>
  <c r="J281" i="1"/>
  <c r="K281" i="1"/>
  <c r="L281" i="1"/>
  <c r="J282" i="1"/>
  <c r="K282" i="1"/>
  <c r="L282" i="1"/>
  <c r="J283" i="1"/>
  <c r="K283" i="1"/>
  <c r="L283" i="1"/>
  <c r="J284" i="1"/>
  <c r="J285" i="1" s="1"/>
  <c r="K284" i="1"/>
  <c r="L284" i="1"/>
  <c r="K285" i="1"/>
  <c r="L285" i="1"/>
  <c r="J286" i="1"/>
  <c r="K286" i="1"/>
  <c r="L286" i="1"/>
  <c r="J287" i="1"/>
  <c r="K287" i="1"/>
  <c r="L287" i="1"/>
  <c r="J288" i="1"/>
  <c r="K288" i="1"/>
  <c r="L288" i="1"/>
  <c r="J289" i="1"/>
  <c r="K289" i="1"/>
  <c r="L289" i="1"/>
  <c r="J290" i="1"/>
  <c r="K290" i="1"/>
  <c r="L290" i="1"/>
  <c r="J291" i="1"/>
  <c r="K291" i="1"/>
  <c r="L291" i="1"/>
  <c r="J292" i="1"/>
  <c r="K292" i="1"/>
  <c r="L292" i="1"/>
  <c r="J293" i="1"/>
  <c r="K293" i="1"/>
  <c r="L293" i="1"/>
  <c r="L3" i="1"/>
  <c r="K3" i="1"/>
  <c r="J3" i="1"/>
  <c r="G4" i="1"/>
  <c r="H4" i="1"/>
  <c r="I4" i="1"/>
  <c r="G5" i="1"/>
  <c r="H5" i="1"/>
  <c r="I5" i="1"/>
  <c r="G6" i="1"/>
  <c r="H6" i="1"/>
  <c r="I6" i="1"/>
  <c r="G7" i="1"/>
  <c r="H7" i="1"/>
  <c r="I7" i="1"/>
  <c r="G8" i="1"/>
  <c r="H8" i="1"/>
  <c r="I8" i="1"/>
  <c r="G9" i="1"/>
  <c r="H9" i="1"/>
  <c r="I9" i="1"/>
  <c r="G10" i="1"/>
  <c r="H10" i="1"/>
  <c r="I10" i="1"/>
  <c r="G11" i="1"/>
  <c r="H11" i="1"/>
  <c r="I11" i="1"/>
  <c r="G12" i="1"/>
  <c r="H12" i="1"/>
  <c r="I12" i="1"/>
  <c r="G13" i="1"/>
  <c r="H13" i="1"/>
  <c r="I13" i="1"/>
  <c r="G14" i="1"/>
  <c r="H14" i="1"/>
  <c r="I14" i="1"/>
  <c r="G15" i="1"/>
  <c r="H15" i="1"/>
  <c r="I15" i="1"/>
  <c r="G16" i="1"/>
  <c r="H16" i="1"/>
  <c r="I16" i="1"/>
  <c r="G17" i="1"/>
  <c r="H17" i="1"/>
  <c r="I17" i="1"/>
  <c r="G18" i="1"/>
  <c r="H18" i="1"/>
  <c r="I18" i="1"/>
  <c r="G19" i="1"/>
  <c r="H19" i="1"/>
  <c r="I19" i="1"/>
  <c r="G20" i="1"/>
  <c r="H20" i="1"/>
  <c r="I20" i="1"/>
  <c r="G21" i="1"/>
  <c r="H21" i="1"/>
  <c r="I21" i="1"/>
  <c r="G22" i="1"/>
  <c r="H22" i="1"/>
  <c r="I22" i="1"/>
  <c r="G23" i="1"/>
  <c r="H23" i="1"/>
  <c r="I23" i="1"/>
  <c r="G24" i="1"/>
  <c r="H24" i="1"/>
  <c r="I24" i="1"/>
  <c r="G25" i="1"/>
  <c r="H25" i="1"/>
  <c r="I25" i="1"/>
  <c r="G26" i="1"/>
  <c r="H26" i="1"/>
  <c r="I26" i="1"/>
  <c r="G27" i="1"/>
  <c r="H27" i="1"/>
  <c r="I27" i="1"/>
  <c r="G28" i="1"/>
  <c r="H28" i="1"/>
  <c r="I28" i="1"/>
  <c r="G29" i="1"/>
  <c r="H29" i="1"/>
  <c r="I29" i="1"/>
  <c r="G30" i="1"/>
  <c r="H30" i="1"/>
  <c r="I30" i="1"/>
  <c r="G31" i="1"/>
  <c r="H31" i="1"/>
  <c r="I31" i="1"/>
  <c r="G32" i="1"/>
  <c r="H32" i="1"/>
  <c r="I32" i="1"/>
  <c r="G33" i="1"/>
  <c r="H33" i="1"/>
  <c r="I33" i="1"/>
  <c r="G34" i="1"/>
  <c r="H34" i="1"/>
  <c r="I34" i="1"/>
  <c r="G35" i="1"/>
  <c r="H35" i="1"/>
  <c r="I35" i="1"/>
  <c r="G36" i="1"/>
  <c r="H36" i="1"/>
  <c r="I36" i="1"/>
  <c r="G37" i="1"/>
  <c r="H37" i="1"/>
  <c r="I37" i="1"/>
  <c r="G38" i="1"/>
  <c r="H38" i="1"/>
  <c r="I38" i="1"/>
  <c r="G39" i="1"/>
  <c r="H39" i="1"/>
  <c r="I39" i="1"/>
  <c r="G40" i="1"/>
  <c r="H40" i="1"/>
  <c r="I40" i="1"/>
  <c r="G41" i="1"/>
  <c r="H41" i="1"/>
  <c r="I41" i="1"/>
  <c r="G42" i="1"/>
  <c r="H42" i="1"/>
  <c r="I42" i="1"/>
  <c r="G43" i="1"/>
  <c r="H43" i="1"/>
  <c r="I43" i="1"/>
  <c r="G44" i="1"/>
  <c r="H44" i="1"/>
  <c r="I44" i="1"/>
  <c r="G45" i="1"/>
  <c r="H45" i="1"/>
  <c r="I45" i="1"/>
  <c r="G46" i="1"/>
  <c r="H46" i="1"/>
  <c r="I46" i="1"/>
  <c r="G47" i="1"/>
  <c r="H47" i="1"/>
  <c r="I47" i="1"/>
  <c r="G48" i="1"/>
  <c r="H48" i="1"/>
  <c r="I48" i="1"/>
  <c r="G49" i="1"/>
  <c r="H49" i="1"/>
  <c r="I49" i="1"/>
  <c r="G50" i="1"/>
  <c r="H50" i="1"/>
  <c r="I50" i="1"/>
  <c r="G51" i="1"/>
  <c r="H51" i="1"/>
  <c r="I51" i="1"/>
  <c r="G52" i="1"/>
  <c r="H52" i="1"/>
  <c r="I52" i="1"/>
  <c r="G53" i="1"/>
  <c r="H53" i="1"/>
  <c r="I53" i="1"/>
  <c r="G54" i="1"/>
  <c r="H54" i="1"/>
  <c r="I54" i="1"/>
  <c r="G55" i="1"/>
  <c r="H55" i="1"/>
  <c r="I55" i="1"/>
  <c r="G56" i="1"/>
  <c r="H56" i="1"/>
  <c r="I56" i="1"/>
  <c r="G57" i="1"/>
  <c r="H57" i="1"/>
  <c r="I57" i="1"/>
  <c r="G58" i="1"/>
  <c r="H58" i="1"/>
  <c r="I58" i="1"/>
  <c r="G59" i="1"/>
  <c r="H59" i="1"/>
  <c r="I59" i="1"/>
  <c r="G60" i="1"/>
  <c r="H60" i="1"/>
  <c r="I60" i="1"/>
  <c r="G61" i="1"/>
  <c r="H61" i="1"/>
  <c r="I61" i="1"/>
  <c r="G62" i="1"/>
  <c r="H62" i="1"/>
  <c r="I62" i="1"/>
  <c r="G63" i="1"/>
  <c r="H63" i="1"/>
  <c r="I63" i="1"/>
  <c r="G64" i="1"/>
  <c r="H64" i="1"/>
  <c r="I64" i="1"/>
  <c r="G65" i="1"/>
  <c r="H65" i="1"/>
  <c r="I65" i="1"/>
  <c r="G66" i="1"/>
  <c r="H66" i="1"/>
  <c r="I66" i="1"/>
  <c r="G67" i="1"/>
  <c r="H67" i="1"/>
  <c r="I67" i="1"/>
  <c r="G68" i="1"/>
  <c r="H68" i="1"/>
  <c r="I68" i="1"/>
  <c r="G69" i="1"/>
  <c r="H69" i="1"/>
  <c r="I69" i="1"/>
  <c r="G70" i="1"/>
  <c r="H70" i="1"/>
  <c r="I70" i="1"/>
  <c r="G71" i="1"/>
  <c r="H71" i="1"/>
  <c r="I71" i="1"/>
  <c r="G72" i="1"/>
  <c r="H72" i="1"/>
  <c r="I72" i="1"/>
  <c r="G73" i="1"/>
  <c r="H73" i="1"/>
  <c r="I73" i="1"/>
  <c r="G74" i="1"/>
  <c r="H74" i="1"/>
  <c r="I74" i="1"/>
  <c r="G75" i="1"/>
  <c r="H75" i="1"/>
  <c r="I75" i="1"/>
  <c r="G76" i="1"/>
  <c r="H76" i="1"/>
  <c r="I76" i="1"/>
  <c r="G77" i="1"/>
  <c r="H77" i="1"/>
  <c r="I77" i="1"/>
  <c r="G78" i="1"/>
  <c r="H78" i="1"/>
  <c r="I78" i="1"/>
  <c r="G79" i="1"/>
  <c r="H79" i="1"/>
  <c r="I79" i="1"/>
  <c r="G80" i="1"/>
  <c r="H80" i="1"/>
  <c r="I80" i="1"/>
  <c r="G81" i="1"/>
  <c r="H81" i="1"/>
  <c r="I81" i="1"/>
  <c r="G82" i="1"/>
  <c r="H82" i="1"/>
  <c r="I82" i="1"/>
  <c r="G83" i="1"/>
  <c r="H83" i="1"/>
  <c r="I83" i="1"/>
  <c r="G84" i="1"/>
  <c r="H84" i="1"/>
  <c r="I84" i="1"/>
  <c r="G85" i="1"/>
  <c r="H85" i="1"/>
  <c r="I85" i="1"/>
  <c r="G86" i="1"/>
  <c r="H86" i="1"/>
  <c r="I86" i="1"/>
  <c r="G87" i="1"/>
  <c r="H87" i="1"/>
  <c r="I87" i="1"/>
  <c r="G88" i="1"/>
  <c r="H88" i="1"/>
  <c r="I88" i="1"/>
  <c r="G89" i="1"/>
  <c r="H89" i="1"/>
  <c r="I89" i="1"/>
  <c r="G90" i="1"/>
  <c r="H90" i="1"/>
  <c r="I90" i="1"/>
  <c r="G91" i="1"/>
  <c r="H91" i="1"/>
  <c r="I91" i="1"/>
  <c r="G92" i="1"/>
  <c r="H92" i="1"/>
  <c r="I92" i="1"/>
  <c r="G93" i="1"/>
  <c r="H93" i="1"/>
  <c r="I93" i="1"/>
  <c r="G94" i="1"/>
  <c r="H94" i="1"/>
  <c r="I94" i="1"/>
  <c r="G95" i="1"/>
  <c r="H95" i="1"/>
  <c r="I95" i="1"/>
  <c r="G96" i="1"/>
  <c r="H96" i="1"/>
  <c r="I96" i="1"/>
  <c r="G97" i="1"/>
  <c r="H97" i="1"/>
  <c r="I97" i="1"/>
  <c r="G98" i="1"/>
  <c r="H98" i="1"/>
  <c r="I98" i="1"/>
  <c r="G99" i="1"/>
  <c r="H99" i="1"/>
  <c r="I99" i="1"/>
  <c r="G100" i="1"/>
  <c r="H100" i="1"/>
  <c r="I100" i="1"/>
  <c r="G101" i="1"/>
  <c r="H101" i="1"/>
  <c r="I101" i="1"/>
  <c r="G102" i="1"/>
  <c r="H102" i="1"/>
  <c r="I102" i="1"/>
  <c r="G103" i="1"/>
  <c r="H103" i="1"/>
  <c r="I103" i="1"/>
  <c r="G104" i="1"/>
  <c r="H104" i="1"/>
  <c r="I104" i="1"/>
  <c r="G105" i="1"/>
  <c r="H105" i="1"/>
  <c r="I105" i="1"/>
  <c r="G106" i="1"/>
  <c r="H106" i="1"/>
  <c r="I106" i="1"/>
  <c r="G107" i="1"/>
  <c r="H107" i="1"/>
  <c r="I107" i="1"/>
  <c r="G108" i="1"/>
  <c r="H108" i="1"/>
  <c r="I108" i="1"/>
  <c r="G109" i="1"/>
  <c r="H109" i="1"/>
  <c r="I109" i="1"/>
  <c r="G110" i="1"/>
  <c r="H110" i="1"/>
  <c r="I110" i="1"/>
  <c r="G111" i="1"/>
  <c r="H111" i="1"/>
  <c r="I111" i="1"/>
  <c r="G112" i="1"/>
  <c r="H112" i="1"/>
  <c r="I112" i="1"/>
  <c r="G113" i="1"/>
  <c r="H113" i="1"/>
  <c r="I113" i="1"/>
  <c r="G114" i="1"/>
  <c r="H114" i="1"/>
  <c r="I114" i="1"/>
  <c r="G115" i="1"/>
  <c r="H115" i="1"/>
  <c r="I115" i="1"/>
  <c r="G116" i="1"/>
  <c r="H116" i="1"/>
  <c r="I116" i="1"/>
  <c r="G117" i="1"/>
  <c r="H117" i="1"/>
  <c r="I117" i="1"/>
  <c r="G118" i="1"/>
  <c r="H118" i="1"/>
  <c r="I118" i="1"/>
  <c r="G119" i="1"/>
  <c r="H119" i="1"/>
  <c r="I119" i="1"/>
  <c r="G120" i="1"/>
  <c r="H120" i="1"/>
  <c r="I120" i="1"/>
  <c r="G121" i="1"/>
  <c r="H121" i="1"/>
  <c r="I121" i="1"/>
  <c r="G122" i="1"/>
  <c r="H122" i="1"/>
  <c r="I122" i="1"/>
  <c r="G123" i="1"/>
  <c r="H123" i="1"/>
  <c r="I123" i="1"/>
  <c r="G124" i="1"/>
  <c r="H124" i="1"/>
  <c r="I124" i="1"/>
  <c r="G125" i="1"/>
  <c r="H125" i="1"/>
  <c r="I125" i="1"/>
  <c r="G126" i="1"/>
  <c r="H126" i="1"/>
  <c r="I126" i="1"/>
  <c r="G127" i="1"/>
  <c r="H127" i="1"/>
  <c r="I127" i="1"/>
  <c r="G128" i="1"/>
  <c r="H128" i="1"/>
  <c r="I128" i="1"/>
  <c r="G129" i="1"/>
  <c r="H129" i="1"/>
  <c r="I129" i="1"/>
  <c r="G130" i="1"/>
  <c r="H130" i="1"/>
  <c r="I130" i="1"/>
  <c r="G131" i="1"/>
  <c r="H131" i="1"/>
  <c r="I131" i="1"/>
  <c r="G132" i="1"/>
  <c r="H132" i="1"/>
  <c r="I132" i="1"/>
  <c r="G133" i="1"/>
  <c r="H133" i="1"/>
  <c r="I133" i="1"/>
  <c r="G134" i="1"/>
  <c r="H134" i="1"/>
  <c r="I134" i="1"/>
  <c r="G135" i="1"/>
  <c r="H135" i="1"/>
  <c r="I135" i="1"/>
  <c r="G136" i="1"/>
  <c r="H136" i="1"/>
  <c r="I136" i="1"/>
  <c r="G137" i="1"/>
  <c r="H137" i="1"/>
  <c r="I137" i="1"/>
  <c r="G138" i="1"/>
  <c r="H138" i="1"/>
  <c r="I138" i="1"/>
  <c r="G139" i="1"/>
  <c r="H139" i="1"/>
  <c r="I139" i="1"/>
  <c r="G140" i="1"/>
  <c r="H140" i="1"/>
  <c r="I140" i="1"/>
  <c r="G141" i="1"/>
  <c r="H141" i="1"/>
  <c r="I141" i="1"/>
  <c r="G142" i="1"/>
  <c r="H142" i="1"/>
  <c r="I142" i="1"/>
  <c r="G143" i="1"/>
  <c r="H143" i="1"/>
  <c r="I143" i="1"/>
  <c r="G144" i="1"/>
  <c r="H144" i="1"/>
  <c r="I144" i="1"/>
  <c r="G145" i="1"/>
  <c r="H145" i="1"/>
  <c r="I145" i="1"/>
  <c r="G146" i="1"/>
  <c r="H146" i="1"/>
  <c r="I146" i="1"/>
  <c r="G147" i="1"/>
  <c r="H147" i="1"/>
  <c r="I147" i="1"/>
  <c r="G148" i="1"/>
  <c r="H148" i="1"/>
  <c r="I148" i="1"/>
  <c r="G149" i="1"/>
  <c r="H149" i="1"/>
  <c r="I149" i="1"/>
  <c r="G150" i="1"/>
  <c r="H150" i="1"/>
  <c r="I150" i="1"/>
  <c r="G151" i="1"/>
  <c r="H151" i="1"/>
  <c r="I151" i="1"/>
  <c r="G152" i="1"/>
  <c r="H152" i="1"/>
  <c r="I152" i="1"/>
  <c r="G153" i="1"/>
  <c r="H153" i="1"/>
  <c r="I153" i="1"/>
  <c r="G154" i="1"/>
  <c r="H154" i="1"/>
  <c r="I154" i="1"/>
  <c r="G155" i="1"/>
  <c r="H155" i="1"/>
  <c r="I155" i="1"/>
  <c r="G156" i="1"/>
  <c r="H156" i="1"/>
  <c r="I156" i="1"/>
  <c r="G157" i="1"/>
  <c r="H157" i="1"/>
  <c r="I157" i="1"/>
  <c r="G158" i="1"/>
  <c r="H158" i="1"/>
  <c r="I158" i="1"/>
  <c r="G159" i="1"/>
  <c r="H159" i="1"/>
  <c r="I159" i="1"/>
  <c r="G160" i="1"/>
  <c r="H160" i="1"/>
  <c r="I160" i="1"/>
  <c r="G161" i="1"/>
  <c r="H161" i="1"/>
  <c r="I161" i="1"/>
  <c r="G162" i="1"/>
  <c r="H162" i="1"/>
  <c r="I162" i="1"/>
  <c r="G163" i="1"/>
  <c r="H163" i="1"/>
  <c r="I163" i="1"/>
  <c r="G164" i="1"/>
  <c r="H164" i="1"/>
  <c r="I164" i="1"/>
  <c r="G165" i="1"/>
  <c r="H165" i="1"/>
  <c r="I165" i="1"/>
  <c r="G166" i="1"/>
  <c r="H166" i="1"/>
  <c r="I166" i="1"/>
  <c r="G167" i="1"/>
  <c r="H167" i="1"/>
  <c r="I167" i="1"/>
  <c r="G168" i="1"/>
  <c r="H168" i="1"/>
  <c r="I168" i="1"/>
  <c r="G169" i="1"/>
  <c r="H169" i="1"/>
  <c r="I169" i="1"/>
  <c r="G170" i="1"/>
  <c r="H170" i="1"/>
  <c r="I170" i="1"/>
  <c r="G171" i="1"/>
  <c r="H171" i="1"/>
  <c r="I171" i="1"/>
  <c r="G172" i="1"/>
  <c r="H172" i="1"/>
  <c r="I172" i="1"/>
  <c r="G173" i="1"/>
  <c r="H173" i="1"/>
  <c r="I173" i="1"/>
  <c r="G174" i="1"/>
  <c r="H174" i="1"/>
  <c r="I174" i="1"/>
  <c r="G175" i="1"/>
  <c r="H175" i="1"/>
  <c r="I175" i="1"/>
  <c r="G176" i="1"/>
  <c r="H176" i="1"/>
  <c r="I176" i="1"/>
  <c r="G177" i="1"/>
  <c r="H177" i="1"/>
  <c r="I177" i="1"/>
  <c r="G178" i="1"/>
  <c r="H178" i="1"/>
  <c r="I178" i="1"/>
  <c r="G179" i="1"/>
  <c r="H179" i="1"/>
  <c r="I179" i="1"/>
  <c r="G180" i="1"/>
  <c r="H180" i="1"/>
  <c r="I180" i="1"/>
  <c r="G181" i="1"/>
  <c r="H181" i="1"/>
  <c r="I181" i="1"/>
  <c r="G182" i="1"/>
  <c r="H182" i="1"/>
  <c r="I182" i="1"/>
  <c r="G183" i="1"/>
  <c r="H183" i="1"/>
  <c r="I183" i="1"/>
  <c r="G184" i="1"/>
  <c r="H184" i="1"/>
  <c r="I184" i="1"/>
  <c r="G185" i="1"/>
  <c r="H185" i="1"/>
  <c r="I185" i="1"/>
  <c r="G186" i="1"/>
  <c r="H186" i="1"/>
  <c r="I186" i="1"/>
  <c r="G187" i="1"/>
  <c r="H187" i="1"/>
  <c r="I187" i="1"/>
  <c r="G188" i="1"/>
  <c r="H188" i="1"/>
  <c r="I188" i="1"/>
  <c r="G189" i="1"/>
  <c r="H189" i="1"/>
  <c r="I189" i="1"/>
  <c r="G190" i="1"/>
  <c r="H190" i="1"/>
  <c r="I190" i="1"/>
  <c r="G191" i="1"/>
  <c r="H191" i="1"/>
  <c r="I191" i="1"/>
  <c r="G192" i="1"/>
  <c r="H192" i="1"/>
  <c r="I192" i="1"/>
  <c r="G193" i="1"/>
  <c r="H193" i="1"/>
  <c r="I193" i="1"/>
  <c r="G194" i="1"/>
  <c r="H194" i="1"/>
  <c r="I194" i="1"/>
  <c r="G195" i="1"/>
  <c r="H195" i="1"/>
  <c r="I195" i="1"/>
  <c r="G196" i="1"/>
  <c r="H196" i="1"/>
  <c r="I196" i="1"/>
  <c r="G197" i="1"/>
  <c r="H197" i="1"/>
  <c r="I197" i="1"/>
  <c r="G198" i="1"/>
  <c r="H198" i="1"/>
  <c r="I198" i="1"/>
  <c r="G199" i="1"/>
  <c r="H199" i="1"/>
  <c r="I199" i="1"/>
  <c r="G200" i="1"/>
  <c r="H200" i="1"/>
  <c r="I200" i="1"/>
  <c r="G201" i="1"/>
  <c r="H201" i="1"/>
  <c r="I201" i="1"/>
  <c r="G202" i="1"/>
  <c r="H202" i="1"/>
  <c r="I202" i="1"/>
  <c r="G203" i="1"/>
  <c r="H203" i="1"/>
  <c r="I203" i="1"/>
  <c r="G204" i="1"/>
  <c r="H204" i="1"/>
  <c r="I204" i="1"/>
  <c r="G205" i="1"/>
  <c r="H205" i="1"/>
  <c r="I205" i="1"/>
  <c r="G206" i="1"/>
  <c r="H206" i="1"/>
  <c r="I206" i="1"/>
  <c r="G207" i="1"/>
  <c r="H207" i="1"/>
  <c r="I207" i="1"/>
  <c r="G208" i="1"/>
  <c r="H208" i="1"/>
  <c r="I208" i="1"/>
  <c r="G209" i="1"/>
  <c r="H209" i="1"/>
  <c r="I209" i="1"/>
  <c r="G210" i="1"/>
  <c r="H210" i="1"/>
  <c r="I210" i="1"/>
  <c r="G211" i="1"/>
  <c r="H211" i="1"/>
  <c r="I211" i="1"/>
  <c r="G212" i="1"/>
  <c r="H212" i="1"/>
  <c r="I212" i="1"/>
  <c r="G213" i="1"/>
  <c r="H213" i="1"/>
  <c r="I213" i="1"/>
  <c r="G214" i="1"/>
  <c r="H214" i="1"/>
  <c r="I214" i="1"/>
  <c r="G215" i="1"/>
  <c r="H215" i="1"/>
  <c r="I215" i="1"/>
  <c r="G216" i="1"/>
  <c r="H216" i="1"/>
  <c r="I216" i="1"/>
  <c r="G217" i="1"/>
  <c r="H217" i="1"/>
  <c r="I217" i="1"/>
  <c r="G218" i="1"/>
  <c r="H218" i="1"/>
  <c r="I218" i="1"/>
  <c r="G219" i="1"/>
  <c r="H219" i="1"/>
  <c r="I219" i="1"/>
  <c r="G220" i="1"/>
  <c r="H220" i="1"/>
  <c r="I220" i="1"/>
  <c r="G221" i="1"/>
  <c r="H221" i="1"/>
  <c r="I221" i="1"/>
  <c r="G222" i="1"/>
  <c r="H222" i="1"/>
  <c r="I222" i="1"/>
  <c r="G223" i="1"/>
  <c r="H223" i="1"/>
  <c r="I223" i="1"/>
  <c r="G224" i="1"/>
  <c r="H224" i="1"/>
  <c r="I224" i="1"/>
  <c r="G225" i="1"/>
  <c r="H225" i="1"/>
  <c r="I225" i="1"/>
  <c r="G226" i="1"/>
  <c r="H226" i="1"/>
  <c r="I226" i="1"/>
  <c r="G227" i="1"/>
  <c r="H227" i="1"/>
  <c r="I227" i="1"/>
  <c r="G228" i="1"/>
  <c r="H228" i="1"/>
  <c r="I228" i="1"/>
  <c r="G229" i="1"/>
  <c r="H229" i="1"/>
  <c r="I229" i="1"/>
  <c r="G230" i="1"/>
  <c r="H230" i="1"/>
  <c r="I230" i="1"/>
  <c r="G231" i="1"/>
  <c r="H231" i="1"/>
  <c r="I231" i="1"/>
  <c r="G232" i="1"/>
  <c r="H232" i="1"/>
  <c r="I232" i="1"/>
  <c r="G233" i="1"/>
  <c r="H233" i="1"/>
  <c r="I233" i="1"/>
  <c r="G234" i="1"/>
  <c r="H234" i="1"/>
  <c r="I234" i="1"/>
  <c r="G235" i="1"/>
  <c r="H235" i="1"/>
  <c r="I235" i="1"/>
  <c r="G236" i="1"/>
  <c r="H236" i="1"/>
  <c r="I236" i="1"/>
  <c r="G237" i="1"/>
  <c r="H237" i="1"/>
  <c r="I237" i="1"/>
  <c r="G238" i="1"/>
  <c r="H238" i="1"/>
  <c r="I238" i="1"/>
  <c r="G239" i="1"/>
  <c r="H239" i="1"/>
  <c r="I239" i="1"/>
  <c r="G240" i="1"/>
  <c r="H240" i="1"/>
  <c r="I240" i="1"/>
  <c r="G241" i="1"/>
  <c r="H241" i="1"/>
  <c r="I241" i="1"/>
  <c r="G242" i="1"/>
  <c r="H242" i="1"/>
  <c r="I242" i="1"/>
  <c r="G243" i="1"/>
  <c r="H243" i="1"/>
  <c r="I243" i="1"/>
  <c r="G244" i="1"/>
  <c r="H244" i="1"/>
  <c r="I244" i="1"/>
  <c r="G245" i="1"/>
  <c r="H245" i="1"/>
  <c r="I245" i="1"/>
  <c r="G246" i="1"/>
  <c r="H246" i="1"/>
  <c r="I246" i="1"/>
  <c r="G247" i="1"/>
  <c r="H247" i="1"/>
  <c r="I247" i="1"/>
  <c r="G248" i="1"/>
  <c r="H248" i="1"/>
  <c r="I248" i="1"/>
  <c r="G249" i="1"/>
  <c r="H249" i="1"/>
  <c r="I249" i="1"/>
  <c r="G250" i="1"/>
  <c r="H250" i="1"/>
  <c r="I250" i="1"/>
  <c r="G251" i="1"/>
  <c r="H251" i="1"/>
  <c r="I251" i="1"/>
  <c r="G252" i="1"/>
  <c r="H252" i="1"/>
  <c r="I252" i="1"/>
  <c r="G253" i="1"/>
  <c r="H253" i="1"/>
  <c r="I253" i="1"/>
  <c r="G254" i="1"/>
  <c r="H254" i="1"/>
  <c r="I254" i="1"/>
  <c r="G255" i="1"/>
  <c r="H255" i="1"/>
  <c r="I255" i="1"/>
  <c r="G256" i="1"/>
  <c r="H256" i="1"/>
  <c r="I256" i="1"/>
  <c r="G257" i="1"/>
  <c r="H257" i="1"/>
  <c r="I257" i="1"/>
  <c r="G258" i="1"/>
  <c r="H258" i="1"/>
  <c r="I258" i="1"/>
  <c r="G259" i="1"/>
  <c r="H259" i="1"/>
  <c r="I259" i="1"/>
  <c r="G260" i="1"/>
  <c r="H260" i="1"/>
  <c r="I260" i="1"/>
  <c r="G261" i="1"/>
  <c r="H261" i="1"/>
  <c r="I261" i="1"/>
  <c r="G262" i="1"/>
  <c r="H262" i="1"/>
  <c r="I262" i="1"/>
  <c r="G263" i="1"/>
  <c r="H263" i="1"/>
  <c r="I263" i="1"/>
  <c r="G264" i="1"/>
  <c r="H264" i="1"/>
  <c r="I264" i="1"/>
  <c r="G265" i="1"/>
  <c r="H265" i="1"/>
  <c r="I265" i="1"/>
  <c r="G266" i="1"/>
  <c r="H266" i="1"/>
  <c r="I266" i="1"/>
  <c r="G267" i="1"/>
  <c r="H267" i="1"/>
  <c r="I267" i="1"/>
  <c r="G268" i="1"/>
  <c r="H268" i="1"/>
  <c r="I268" i="1"/>
  <c r="G269" i="1"/>
  <c r="H269" i="1"/>
  <c r="I269" i="1"/>
  <c r="G270" i="1"/>
  <c r="H270" i="1"/>
  <c r="I270" i="1"/>
  <c r="G271" i="1"/>
  <c r="H271" i="1"/>
  <c r="I271" i="1"/>
  <c r="G272" i="1"/>
  <c r="H272" i="1"/>
  <c r="I272" i="1"/>
  <c r="G273" i="1"/>
  <c r="H273" i="1"/>
  <c r="I273" i="1"/>
  <c r="G274" i="1"/>
  <c r="H274" i="1"/>
  <c r="I274" i="1"/>
  <c r="G275" i="1"/>
  <c r="H275" i="1"/>
  <c r="I275" i="1"/>
  <c r="G276" i="1"/>
  <c r="H276" i="1"/>
  <c r="I276" i="1"/>
  <c r="G277" i="1"/>
  <c r="H277" i="1"/>
  <c r="I277" i="1"/>
  <c r="G278" i="1"/>
  <c r="H278" i="1"/>
  <c r="I278" i="1"/>
  <c r="G279" i="1"/>
  <c r="H279" i="1"/>
  <c r="I279" i="1"/>
  <c r="G280" i="1"/>
  <c r="H280" i="1"/>
  <c r="I280" i="1"/>
  <c r="G281" i="1"/>
  <c r="H281" i="1"/>
  <c r="I281" i="1"/>
  <c r="G282" i="1"/>
  <c r="H282" i="1"/>
  <c r="I282" i="1"/>
  <c r="G283" i="1"/>
  <c r="H283" i="1"/>
  <c r="I283" i="1"/>
  <c r="G284" i="1"/>
  <c r="H284" i="1"/>
  <c r="I284" i="1"/>
  <c r="G285" i="1"/>
  <c r="H285" i="1"/>
  <c r="I285" i="1"/>
  <c r="G286" i="1"/>
  <c r="H286" i="1"/>
  <c r="I286" i="1"/>
  <c r="G287" i="1"/>
  <c r="H287" i="1"/>
  <c r="I287" i="1"/>
  <c r="G288" i="1"/>
  <c r="H288" i="1"/>
  <c r="I288" i="1"/>
  <c r="G289" i="1"/>
  <c r="H289" i="1"/>
  <c r="I289" i="1"/>
  <c r="G290" i="1"/>
  <c r="H290" i="1"/>
  <c r="I290" i="1"/>
  <c r="G291" i="1"/>
  <c r="H291" i="1"/>
  <c r="I291" i="1"/>
  <c r="G292" i="1"/>
  <c r="H292" i="1"/>
  <c r="I292" i="1"/>
  <c r="G293" i="1"/>
  <c r="H293" i="1"/>
  <c r="I293" i="1"/>
  <c r="I3" i="1"/>
  <c r="H3" i="1"/>
  <c r="G3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4" i="1"/>
  <c r="C5" i="1"/>
  <c r="C6" i="1"/>
  <c r="C7" i="1"/>
  <c r="C8" i="1"/>
  <c r="C9" i="1"/>
  <c r="C10" i="1"/>
  <c r="C11" i="1"/>
  <c r="C12" i="1"/>
  <c r="C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3" i="1"/>
  <c r="J137" i="1" l="1"/>
  <c r="H294" i="1"/>
  <c r="G294" i="1"/>
  <c r="L139" i="1"/>
  <c r="L140" i="1" s="1"/>
  <c r="L141" i="1" s="1"/>
  <c r="O3" i="1"/>
  <c r="L152" i="1"/>
  <c r="L153" i="1" s="1"/>
  <c r="M3" i="1"/>
  <c r="M4" i="1" s="1"/>
  <c r="N3" i="1"/>
  <c r="N4" i="1" s="1"/>
  <c r="N5" i="1" s="1"/>
  <c r="N6" i="1" s="1"/>
  <c r="N7" i="1" s="1"/>
  <c r="N8" i="1" s="1"/>
  <c r="N9" i="1" s="1"/>
  <c r="N10" i="1" s="1"/>
  <c r="N11" i="1" s="1"/>
  <c r="N12" i="1" s="1"/>
  <c r="N13" i="1" s="1"/>
  <c r="N14" i="1" s="1"/>
  <c r="N15" i="1" s="1"/>
  <c r="N16" i="1" s="1"/>
  <c r="N17" i="1" s="1"/>
  <c r="N18" i="1" s="1"/>
  <c r="N19" i="1" s="1"/>
  <c r="N20" i="1" s="1"/>
  <c r="N21" i="1" s="1"/>
  <c r="N22" i="1" s="1"/>
  <c r="N23" i="1" s="1"/>
  <c r="N24" i="1" s="1"/>
  <c r="N25" i="1" s="1"/>
  <c r="N26" i="1" s="1"/>
  <c r="N27" i="1" s="1"/>
  <c r="N28" i="1" s="1"/>
  <c r="N29" i="1" s="1"/>
  <c r="N30" i="1" s="1"/>
  <c r="N31" i="1" s="1"/>
  <c r="N32" i="1" s="1"/>
  <c r="N33" i="1" s="1"/>
  <c r="N34" i="1" s="1"/>
  <c r="N35" i="1" s="1"/>
  <c r="N36" i="1" s="1"/>
  <c r="N37" i="1" s="1"/>
  <c r="N38" i="1" s="1"/>
  <c r="N39" i="1" s="1"/>
  <c r="N40" i="1" s="1"/>
  <c r="N41" i="1" s="1"/>
  <c r="N42" i="1" s="1"/>
  <c r="N43" i="1" s="1"/>
  <c r="N44" i="1" s="1"/>
  <c r="N45" i="1" s="1"/>
  <c r="N46" i="1" s="1"/>
  <c r="N47" i="1" s="1"/>
  <c r="N48" i="1" s="1"/>
  <c r="N49" i="1" s="1"/>
  <c r="N50" i="1" s="1"/>
  <c r="N51" i="1" s="1"/>
  <c r="N52" i="1" s="1"/>
  <c r="N53" i="1" s="1"/>
  <c r="N54" i="1" s="1"/>
  <c r="N55" i="1" s="1"/>
  <c r="N56" i="1" s="1"/>
  <c r="N57" i="1" s="1"/>
  <c r="N58" i="1" s="1"/>
  <c r="N59" i="1" s="1"/>
  <c r="N60" i="1" s="1"/>
  <c r="N61" i="1" s="1"/>
  <c r="N62" i="1" s="1"/>
  <c r="N63" i="1" s="1"/>
  <c r="N64" i="1" s="1"/>
  <c r="N65" i="1" s="1"/>
  <c r="N66" i="1" s="1"/>
  <c r="N67" i="1" s="1"/>
  <c r="N68" i="1" s="1"/>
  <c r="N69" i="1" s="1"/>
  <c r="N70" i="1" s="1"/>
  <c r="N71" i="1" s="1"/>
  <c r="N72" i="1" s="1"/>
  <c r="N73" i="1" s="1"/>
  <c r="N74" i="1" s="1"/>
  <c r="N75" i="1" s="1"/>
  <c r="N76" i="1" s="1"/>
  <c r="N77" i="1" s="1"/>
  <c r="N78" i="1" s="1"/>
  <c r="N79" i="1" s="1"/>
  <c r="N80" i="1" s="1"/>
  <c r="N81" i="1" s="1"/>
  <c r="N82" i="1" s="1"/>
  <c r="N83" i="1" s="1"/>
  <c r="N84" i="1" s="1"/>
  <c r="N85" i="1" s="1"/>
  <c r="N86" i="1" s="1"/>
  <c r="N87" i="1" s="1"/>
  <c r="N88" i="1" s="1"/>
  <c r="N89" i="1" s="1"/>
  <c r="N90" i="1" s="1"/>
  <c r="N91" i="1" s="1"/>
  <c r="N92" i="1" s="1"/>
  <c r="N93" i="1" s="1"/>
  <c r="N94" i="1" s="1"/>
  <c r="N95" i="1" s="1"/>
  <c r="N96" i="1" s="1"/>
  <c r="N97" i="1" s="1"/>
  <c r="N98" i="1" s="1"/>
  <c r="N99" i="1" s="1"/>
  <c r="N100" i="1" s="1"/>
  <c r="N101" i="1" s="1"/>
  <c r="N102" i="1" s="1"/>
  <c r="N103" i="1" s="1"/>
  <c r="N104" i="1" s="1"/>
  <c r="N105" i="1" s="1"/>
  <c r="N106" i="1" s="1"/>
  <c r="N107" i="1" s="1"/>
  <c r="N108" i="1" s="1"/>
  <c r="N109" i="1" s="1"/>
  <c r="N110" i="1" s="1"/>
  <c r="N111" i="1" s="1"/>
  <c r="N112" i="1" s="1"/>
  <c r="N113" i="1" s="1"/>
  <c r="N114" i="1" s="1"/>
  <c r="N115" i="1" s="1"/>
  <c r="N116" i="1" s="1"/>
  <c r="N117" i="1" s="1"/>
  <c r="N118" i="1" s="1"/>
  <c r="N119" i="1" s="1"/>
  <c r="N120" i="1" s="1"/>
  <c r="N121" i="1" s="1"/>
  <c r="N122" i="1" s="1"/>
  <c r="N123" i="1" s="1"/>
  <c r="N124" i="1" s="1"/>
  <c r="N125" i="1" s="1"/>
  <c r="N126" i="1" s="1"/>
  <c r="N127" i="1" s="1"/>
  <c r="N128" i="1" s="1"/>
  <c r="N129" i="1" s="1"/>
  <c r="N130" i="1" s="1"/>
  <c r="N131" i="1" s="1"/>
  <c r="N132" i="1" s="1"/>
  <c r="N133" i="1" s="1"/>
  <c r="N134" i="1" s="1"/>
  <c r="N135" i="1" s="1"/>
  <c r="N136" i="1" s="1"/>
  <c r="N137" i="1" s="1"/>
  <c r="N138" i="1" s="1"/>
  <c r="N139" i="1" s="1"/>
  <c r="N140" i="1" s="1"/>
  <c r="N141" i="1" s="1"/>
  <c r="N142" i="1" s="1"/>
  <c r="N143" i="1" s="1"/>
  <c r="N144" i="1" s="1"/>
  <c r="N145" i="1" s="1"/>
  <c r="N146" i="1" s="1"/>
  <c r="N147" i="1" s="1"/>
  <c r="N148" i="1" s="1"/>
  <c r="N149" i="1" s="1"/>
  <c r="N150" i="1" s="1"/>
  <c r="N151" i="1" s="1"/>
  <c r="N152" i="1" s="1"/>
  <c r="N153" i="1" s="1"/>
  <c r="N154" i="1" s="1"/>
  <c r="N155" i="1" s="1"/>
  <c r="N156" i="1" s="1"/>
  <c r="N157" i="1" s="1"/>
  <c r="N158" i="1" s="1"/>
  <c r="N159" i="1" s="1"/>
  <c r="N160" i="1" s="1"/>
  <c r="N161" i="1" s="1"/>
  <c r="N162" i="1" s="1"/>
  <c r="N163" i="1" s="1"/>
  <c r="N164" i="1" s="1"/>
  <c r="N165" i="1" s="1"/>
  <c r="N166" i="1" s="1"/>
  <c r="N167" i="1" s="1"/>
  <c r="N168" i="1" s="1"/>
  <c r="N169" i="1" s="1"/>
  <c r="N170" i="1" s="1"/>
  <c r="N171" i="1" s="1"/>
  <c r="N172" i="1" s="1"/>
  <c r="N173" i="1" s="1"/>
  <c r="N174" i="1" s="1"/>
  <c r="N175" i="1" s="1"/>
  <c r="N176" i="1" s="1"/>
  <c r="N177" i="1" s="1"/>
  <c r="N178" i="1" s="1"/>
  <c r="N179" i="1" s="1"/>
  <c r="N180" i="1" s="1"/>
  <c r="N181" i="1" s="1"/>
  <c r="N182" i="1" s="1"/>
  <c r="N183" i="1" s="1"/>
  <c r="N184" i="1" s="1"/>
  <c r="N185" i="1" s="1"/>
  <c r="N186" i="1" s="1"/>
  <c r="N187" i="1" s="1"/>
  <c r="N188" i="1" s="1"/>
  <c r="N189" i="1" s="1"/>
  <c r="N190" i="1" s="1"/>
  <c r="N191" i="1" s="1"/>
  <c r="N192" i="1" s="1"/>
  <c r="N193" i="1" s="1"/>
  <c r="N194" i="1" s="1"/>
  <c r="N195" i="1" s="1"/>
  <c r="N196" i="1" s="1"/>
  <c r="N197" i="1" s="1"/>
  <c r="N198" i="1" s="1"/>
  <c r="N199" i="1" s="1"/>
  <c r="N200" i="1" s="1"/>
  <c r="N201" i="1" s="1"/>
  <c r="N202" i="1" s="1"/>
  <c r="N203" i="1" s="1"/>
  <c r="N204" i="1" s="1"/>
  <c r="N205" i="1" s="1"/>
  <c r="N206" i="1" s="1"/>
  <c r="N207" i="1" s="1"/>
  <c r="N208" i="1" s="1"/>
  <c r="N209" i="1" s="1"/>
  <c r="N210" i="1" s="1"/>
  <c r="N211" i="1" s="1"/>
  <c r="N212" i="1" s="1"/>
  <c r="N213" i="1" s="1"/>
  <c r="N214" i="1" s="1"/>
  <c r="N215" i="1" s="1"/>
  <c r="N216" i="1" s="1"/>
  <c r="N217" i="1" s="1"/>
  <c r="N218" i="1" s="1"/>
  <c r="N219" i="1" s="1"/>
  <c r="N220" i="1" s="1"/>
  <c r="N221" i="1" s="1"/>
  <c r="N222" i="1" s="1"/>
  <c r="N223" i="1" s="1"/>
  <c r="N224" i="1" s="1"/>
  <c r="N225" i="1" s="1"/>
  <c r="N226" i="1" s="1"/>
  <c r="N227" i="1" s="1"/>
  <c r="N228" i="1" s="1"/>
  <c r="N229" i="1" s="1"/>
  <c r="N230" i="1" s="1"/>
  <c r="N231" i="1" s="1"/>
  <c r="N232" i="1" s="1"/>
  <c r="N233" i="1" s="1"/>
  <c r="N234" i="1" s="1"/>
  <c r="N235" i="1" s="1"/>
  <c r="N236" i="1" s="1"/>
  <c r="N237" i="1" s="1"/>
  <c r="N238" i="1" s="1"/>
  <c r="N239" i="1" s="1"/>
  <c r="N240" i="1" s="1"/>
  <c r="N241" i="1" s="1"/>
  <c r="N242" i="1" s="1"/>
  <c r="N243" i="1" s="1"/>
  <c r="N244" i="1" s="1"/>
  <c r="N245" i="1" s="1"/>
  <c r="N246" i="1" s="1"/>
  <c r="N247" i="1" s="1"/>
  <c r="N248" i="1" s="1"/>
  <c r="N249" i="1" s="1"/>
  <c r="N250" i="1" s="1"/>
  <c r="N251" i="1" s="1"/>
  <c r="N252" i="1" s="1"/>
  <c r="N253" i="1" s="1"/>
  <c r="N254" i="1" s="1"/>
  <c r="N255" i="1" s="1"/>
  <c r="N256" i="1" s="1"/>
  <c r="N257" i="1" s="1"/>
  <c r="N258" i="1" s="1"/>
  <c r="N259" i="1" s="1"/>
  <c r="N260" i="1" s="1"/>
  <c r="N261" i="1" s="1"/>
  <c r="N262" i="1" s="1"/>
  <c r="N263" i="1" s="1"/>
  <c r="N264" i="1" s="1"/>
  <c r="N265" i="1" s="1"/>
  <c r="N266" i="1" s="1"/>
  <c r="N267" i="1" s="1"/>
  <c r="N268" i="1" s="1"/>
  <c r="N269" i="1" s="1"/>
  <c r="N270" i="1" s="1"/>
  <c r="N271" i="1" s="1"/>
  <c r="N272" i="1" s="1"/>
  <c r="N273" i="1" s="1"/>
  <c r="N274" i="1" s="1"/>
  <c r="N275" i="1" s="1"/>
  <c r="N276" i="1" s="1"/>
  <c r="N277" i="1" s="1"/>
  <c r="N278" i="1" s="1"/>
  <c r="N279" i="1" s="1"/>
  <c r="N280" i="1" s="1"/>
  <c r="N281" i="1" s="1"/>
  <c r="N282" i="1" s="1"/>
  <c r="N283" i="1" s="1"/>
  <c r="N284" i="1" s="1"/>
  <c r="N285" i="1" s="1"/>
  <c r="N286" i="1" s="1"/>
  <c r="N287" i="1" s="1"/>
  <c r="N288" i="1" s="1"/>
  <c r="N289" i="1" s="1"/>
  <c r="N290" i="1" s="1"/>
  <c r="N291" i="1" s="1"/>
  <c r="N292" i="1" s="1"/>
  <c r="N293" i="1" s="1"/>
  <c r="I294" i="1"/>
  <c r="O4" i="1" l="1"/>
  <c r="S3" i="1"/>
  <c r="G295" i="1"/>
  <c r="G296" i="1" s="1"/>
  <c r="M5" i="1"/>
  <c r="O5" i="1" l="1"/>
  <c r="S4" i="1"/>
  <c r="M6" i="1"/>
  <c r="O6" i="1" l="1"/>
  <c r="S5" i="1"/>
  <c r="M7" i="1"/>
  <c r="O7" i="1" l="1"/>
  <c r="S6" i="1"/>
  <c r="M8" i="1"/>
  <c r="O8" i="1" l="1"/>
  <c r="S7" i="1"/>
  <c r="M9" i="1"/>
  <c r="O9" i="1" l="1"/>
  <c r="S8" i="1"/>
  <c r="M10" i="1"/>
  <c r="O10" i="1" l="1"/>
  <c r="S9" i="1"/>
  <c r="M11" i="1"/>
  <c r="O11" i="1" l="1"/>
  <c r="S10" i="1"/>
  <c r="M12" i="1"/>
  <c r="O12" i="1" l="1"/>
  <c r="S11" i="1"/>
  <c r="M13" i="1"/>
  <c r="O13" i="1" l="1"/>
  <c r="S12" i="1"/>
  <c r="M14" i="1"/>
  <c r="O14" i="1" l="1"/>
  <c r="S13" i="1"/>
  <c r="M15" i="1"/>
  <c r="O15" i="1" l="1"/>
  <c r="S14" i="1"/>
  <c r="M16" i="1"/>
  <c r="O16" i="1" l="1"/>
  <c r="S15" i="1"/>
  <c r="M17" i="1"/>
  <c r="O17" i="1" l="1"/>
  <c r="S16" i="1"/>
  <c r="M18" i="1"/>
  <c r="O18" i="1" l="1"/>
  <c r="S17" i="1"/>
  <c r="M19" i="1"/>
  <c r="O19" i="1" l="1"/>
  <c r="S18" i="1"/>
  <c r="M20" i="1"/>
  <c r="O20" i="1" l="1"/>
  <c r="S19" i="1"/>
  <c r="M21" i="1"/>
  <c r="O21" i="1" l="1"/>
  <c r="S20" i="1"/>
  <c r="M22" i="1"/>
  <c r="O22" i="1" l="1"/>
  <c r="S21" i="1"/>
  <c r="M23" i="1"/>
  <c r="O23" i="1" l="1"/>
  <c r="S22" i="1"/>
  <c r="M24" i="1"/>
  <c r="O24" i="1" l="1"/>
  <c r="S23" i="1"/>
  <c r="M25" i="1"/>
  <c r="O25" i="1" l="1"/>
  <c r="S24" i="1"/>
  <c r="M26" i="1"/>
  <c r="O26" i="1" l="1"/>
  <c r="S25" i="1"/>
  <c r="M27" i="1"/>
  <c r="O27" i="1" l="1"/>
  <c r="S26" i="1"/>
  <c r="M28" i="1"/>
  <c r="O28" i="1" l="1"/>
  <c r="S27" i="1"/>
  <c r="M29" i="1"/>
  <c r="O29" i="1" l="1"/>
  <c r="S28" i="1"/>
  <c r="M30" i="1"/>
  <c r="O30" i="1" l="1"/>
  <c r="S29" i="1"/>
  <c r="M31" i="1"/>
  <c r="O31" i="1" l="1"/>
  <c r="S30" i="1"/>
  <c r="M32" i="1"/>
  <c r="O32" i="1" l="1"/>
  <c r="S31" i="1"/>
  <c r="M33" i="1"/>
  <c r="O33" i="1" l="1"/>
  <c r="S32" i="1"/>
  <c r="M34" i="1"/>
  <c r="O34" i="1" l="1"/>
  <c r="S33" i="1"/>
  <c r="M35" i="1"/>
  <c r="O35" i="1" l="1"/>
  <c r="S34" i="1"/>
  <c r="M36" i="1"/>
  <c r="O36" i="1" l="1"/>
  <c r="S35" i="1"/>
  <c r="M37" i="1"/>
  <c r="O37" i="1" l="1"/>
  <c r="S36" i="1"/>
  <c r="M38" i="1"/>
  <c r="O38" i="1" l="1"/>
  <c r="S37" i="1"/>
  <c r="M39" i="1"/>
  <c r="O39" i="1" l="1"/>
  <c r="S38" i="1"/>
  <c r="M40" i="1"/>
  <c r="O40" i="1" l="1"/>
  <c r="S39" i="1"/>
  <c r="M41" i="1"/>
  <c r="O41" i="1" l="1"/>
  <c r="S40" i="1"/>
  <c r="M42" i="1"/>
  <c r="O42" i="1" l="1"/>
  <c r="S41" i="1"/>
  <c r="M43" i="1"/>
  <c r="O43" i="1" l="1"/>
  <c r="S42" i="1"/>
  <c r="M44" i="1"/>
  <c r="O44" i="1" l="1"/>
  <c r="S43" i="1"/>
  <c r="M45" i="1"/>
  <c r="O45" i="1" l="1"/>
  <c r="S44" i="1"/>
  <c r="M46" i="1"/>
  <c r="O46" i="1" l="1"/>
  <c r="S45" i="1"/>
  <c r="M47" i="1"/>
  <c r="O47" i="1" l="1"/>
  <c r="S46" i="1"/>
  <c r="M48" i="1"/>
  <c r="O48" i="1" l="1"/>
  <c r="S47" i="1"/>
  <c r="M49" i="1"/>
  <c r="O49" i="1" l="1"/>
  <c r="S48" i="1"/>
  <c r="M50" i="1"/>
  <c r="O50" i="1" l="1"/>
  <c r="S49" i="1"/>
  <c r="M51" i="1"/>
  <c r="O51" i="1" l="1"/>
  <c r="S50" i="1"/>
  <c r="M52" i="1"/>
  <c r="O52" i="1" l="1"/>
  <c r="S51" i="1"/>
  <c r="M53" i="1"/>
  <c r="O53" i="1" l="1"/>
  <c r="S52" i="1"/>
  <c r="M54" i="1"/>
  <c r="O54" i="1" l="1"/>
  <c r="S53" i="1"/>
  <c r="M55" i="1"/>
  <c r="O55" i="1" l="1"/>
  <c r="S54" i="1"/>
  <c r="M56" i="1"/>
  <c r="O56" i="1" l="1"/>
  <c r="S55" i="1"/>
  <c r="M57" i="1"/>
  <c r="O57" i="1" l="1"/>
  <c r="S56" i="1"/>
  <c r="M58" i="1"/>
  <c r="O58" i="1" l="1"/>
  <c r="S57" i="1"/>
  <c r="M59" i="1"/>
  <c r="O59" i="1" l="1"/>
  <c r="S58" i="1"/>
  <c r="M60" i="1"/>
  <c r="O60" i="1" l="1"/>
  <c r="S59" i="1"/>
  <c r="M61" i="1"/>
  <c r="O61" i="1" l="1"/>
  <c r="S60" i="1"/>
  <c r="M62" i="1"/>
  <c r="O62" i="1" l="1"/>
  <c r="S61" i="1"/>
  <c r="M63" i="1"/>
  <c r="O63" i="1" l="1"/>
  <c r="S62" i="1"/>
  <c r="M64" i="1"/>
  <c r="O64" i="1" l="1"/>
  <c r="S63" i="1"/>
  <c r="M65" i="1"/>
  <c r="O65" i="1" l="1"/>
  <c r="S64" i="1"/>
  <c r="M66" i="1"/>
  <c r="O66" i="1" l="1"/>
  <c r="S65" i="1"/>
  <c r="M67" i="1"/>
  <c r="O67" i="1" l="1"/>
  <c r="S66" i="1"/>
  <c r="M68" i="1"/>
  <c r="O68" i="1" l="1"/>
  <c r="S67" i="1"/>
  <c r="M69" i="1"/>
  <c r="O69" i="1" l="1"/>
  <c r="S68" i="1"/>
  <c r="M70" i="1"/>
  <c r="O70" i="1" l="1"/>
  <c r="S69" i="1"/>
  <c r="M71" i="1"/>
  <c r="O71" i="1" l="1"/>
  <c r="S70" i="1"/>
  <c r="M72" i="1"/>
  <c r="O72" i="1" l="1"/>
  <c r="S71" i="1"/>
  <c r="M73" i="1"/>
  <c r="O73" i="1" l="1"/>
  <c r="S72" i="1"/>
  <c r="M74" i="1"/>
  <c r="O74" i="1" l="1"/>
  <c r="S73" i="1"/>
  <c r="M75" i="1"/>
  <c r="O75" i="1" l="1"/>
  <c r="S74" i="1"/>
  <c r="M76" i="1"/>
  <c r="O76" i="1" l="1"/>
  <c r="S75" i="1"/>
  <c r="M77" i="1"/>
  <c r="O77" i="1" l="1"/>
  <c r="S76" i="1"/>
  <c r="M78" i="1"/>
  <c r="O78" i="1" l="1"/>
  <c r="S77" i="1"/>
  <c r="M79" i="1"/>
  <c r="O79" i="1" l="1"/>
  <c r="S78" i="1"/>
  <c r="M80" i="1"/>
  <c r="O80" i="1" l="1"/>
  <c r="S79" i="1"/>
  <c r="M81" i="1"/>
  <c r="O81" i="1" l="1"/>
  <c r="S80" i="1"/>
  <c r="M82" i="1"/>
  <c r="O82" i="1" l="1"/>
  <c r="S81" i="1"/>
  <c r="M83" i="1"/>
  <c r="O83" i="1" l="1"/>
  <c r="S82" i="1"/>
  <c r="M84" i="1"/>
  <c r="O84" i="1" l="1"/>
  <c r="S83" i="1"/>
  <c r="M85" i="1"/>
  <c r="O85" i="1" l="1"/>
  <c r="S84" i="1"/>
  <c r="M86" i="1"/>
  <c r="O86" i="1" l="1"/>
  <c r="S85" i="1"/>
  <c r="M87" i="1"/>
  <c r="O87" i="1" l="1"/>
  <c r="S86" i="1"/>
  <c r="M88" i="1"/>
  <c r="O88" i="1" l="1"/>
  <c r="S87" i="1"/>
  <c r="M89" i="1"/>
  <c r="O89" i="1" l="1"/>
  <c r="S88" i="1"/>
  <c r="M90" i="1"/>
  <c r="O90" i="1" l="1"/>
  <c r="S89" i="1"/>
  <c r="M91" i="1"/>
  <c r="O91" i="1" l="1"/>
  <c r="S90" i="1"/>
  <c r="M92" i="1"/>
  <c r="O92" i="1" l="1"/>
  <c r="S91" i="1"/>
  <c r="M93" i="1"/>
  <c r="O93" i="1" l="1"/>
  <c r="S92" i="1"/>
  <c r="M94" i="1"/>
  <c r="O94" i="1" l="1"/>
  <c r="S93" i="1"/>
  <c r="M95" i="1"/>
  <c r="O95" i="1" l="1"/>
  <c r="S94" i="1"/>
  <c r="M96" i="1"/>
  <c r="O96" i="1" l="1"/>
  <c r="S95" i="1"/>
  <c r="M97" i="1"/>
  <c r="O97" i="1" l="1"/>
  <c r="S96" i="1"/>
  <c r="M98" i="1"/>
  <c r="O98" i="1" l="1"/>
  <c r="S97" i="1"/>
  <c r="M99" i="1"/>
  <c r="O99" i="1" l="1"/>
  <c r="S98" i="1"/>
  <c r="M100" i="1"/>
  <c r="O100" i="1" l="1"/>
  <c r="S99" i="1"/>
  <c r="M101" i="1"/>
  <c r="O101" i="1" l="1"/>
  <c r="S100" i="1"/>
  <c r="M102" i="1"/>
  <c r="O102" i="1" l="1"/>
  <c r="S101" i="1"/>
  <c r="M103" i="1"/>
  <c r="O103" i="1" l="1"/>
  <c r="S102" i="1"/>
  <c r="M104" i="1"/>
  <c r="O104" i="1" l="1"/>
  <c r="S103" i="1"/>
  <c r="M105" i="1"/>
  <c r="O105" i="1" l="1"/>
  <c r="S104" i="1"/>
  <c r="M106" i="1"/>
  <c r="O106" i="1" l="1"/>
  <c r="S105" i="1"/>
  <c r="M107" i="1"/>
  <c r="O107" i="1" l="1"/>
  <c r="S106" i="1"/>
  <c r="M108" i="1"/>
  <c r="O108" i="1" l="1"/>
  <c r="S107" i="1"/>
  <c r="M109" i="1"/>
  <c r="O109" i="1" l="1"/>
  <c r="S108" i="1"/>
  <c r="M110" i="1"/>
  <c r="O110" i="1" l="1"/>
  <c r="S109" i="1"/>
  <c r="M111" i="1"/>
  <c r="O111" i="1" l="1"/>
  <c r="S110" i="1"/>
  <c r="M112" i="1"/>
  <c r="O112" i="1" l="1"/>
  <c r="S111" i="1"/>
  <c r="M113" i="1"/>
  <c r="O113" i="1" l="1"/>
  <c r="S112" i="1"/>
  <c r="M114" i="1"/>
  <c r="O114" i="1" l="1"/>
  <c r="S113" i="1"/>
  <c r="M115" i="1"/>
  <c r="O115" i="1" l="1"/>
  <c r="S114" i="1"/>
  <c r="M116" i="1"/>
  <c r="O116" i="1" l="1"/>
  <c r="S115" i="1"/>
  <c r="M117" i="1"/>
  <c r="O117" i="1" l="1"/>
  <c r="S116" i="1"/>
  <c r="M118" i="1"/>
  <c r="O118" i="1" l="1"/>
  <c r="S117" i="1"/>
  <c r="M119" i="1"/>
  <c r="O119" i="1" l="1"/>
  <c r="S118" i="1"/>
  <c r="M120" i="1"/>
  <c r="O120" i="1" l="1"/>
  <c r="S119" i="1"/>
  <c r="M121" i="1"/>
  <c r="O121" i="1" l="1"/>
  <c r="S120" i="1"/>
  <c r="M122" i="1"/>
  <c r="O122" i="1" l="1"/>
  <c r="S121" i="1"/>
  <c r="M123" i="1"/>
  <c r="O123" i="1" l="1"/>
  <c r="S122" i="1"/>
  <c r="M124" i="1"/>
  <c r="O124" i="1" l="1"/>
  <c r="S123" i="1"/>
  <c r="M125" i="1"/>
  <c r="O125" i="1" l="1"/>
  <c r="S124" i="1"/>
  <c r="M126" i="1"/>
  <c r="O126" i="1" l="1"/>
  <c r="S125" i="1"/>
  <c r="M127" i="1"/>
  <c r="O127" i="1" l="1"/>
  <c r="S126" i="1"/>
  <c r="M128" i="1"/>
  <c r="O128" i="1" l="1"/>
  <c r="S127" i="1"/>
  <c r="M129" i="1"/>
  <c r="O129" i="1" l="1"/>
  <c r="S128" i="1"/>
  <c r="M130" i="1"/>
  <c r="O130" i="1" l="1"/>
  <c r="S129" i="1"/>
  <c r="M131" i="1"/>
  <c r="O131" i="1" l="1"/>
  <c r="S130" i="1"/>
  <c r="M132" i="1"/>
  <c r="O132" i="1" l="1"/>
  <c r="S131" i="1"/>
  <c r="M133" i="1"/>
  <c r="O133" i="1" l="1"/>
  <c r="S132" i="1"/>
  <c r="M134" i="1"/>
  <c r="O134" i="1" l="1"/>
  <c r="S133" i="1"/>
  <c r="M135" i="1"/>
  <c r="O135" i="1" l="1"/>
  <c r="S134" i="1"/>
  <c r="M136" i="1"/>
  <c r="O136" i="1" l="1"/>
  <c r="S135" i="1"/>
  <c r="M137" i="1"/>
  <c r="O137" i="1" l="1"/>
  <c r="S136" i="1"/>
  <c r="M138" i="1"/>
  <c r="O138" i="1" l="1"/>
  <c r="S137" i="1"/>
  <c r="M139" i="1"/>
  <c r="O139" i="1" l="1"/>
  <c r="S138" i="1"/>
  <c r="M140" i="1"/>
  <c r="O140" i="1" l="1"/>
  <c r="S139" i="1"/>
  <c r="M141" i="1"/>
  <c r="O141" i="1" l="1"/>
  <c r="S140" i="1"/>
  <c r="M142" i="1"/>
  <c r="O142" i="1" l="1"/>
  <c r="S141" i="1"/>
  <c r="M143" i="1"/>
  <c r="O143" i="1" l="1"/>
  <c r="S142" i="1"/>
  <c r="M144" i="1"/>
  <c r="O144" i="1" l="1"/>
  <c r="S143" i="1"/>
  <c r="M145" i="1"/>
  <c r="O145" i="1" l="1"/>
  <c r="S144" i="1"/>
  <c r="M146" i="1"/>
  <c r="O146" i="1" l="1"/>
  <c r="S145" i="1"/>
  <c r="M147" i="1"/>
  <c r="O147" i="1" l="1"/>
  <c r="S146" i="1"/>
  <c r="M148" i="1"/>
  <c r="O148" i="1" l="1"/>
  <c r="S147" i="1"/>
  <c r="M149" i="1"/>
  <c r="O149" i="1" l="1"/>
  <c r="S148" i="1"/>
  <c r="M150" i="1"/>
  <c r="O150" i="1" l="1"/>
  <c r="S149" i="1"/>
  <c r="M151" i="1"/>
  <c r="O151" i="1" l="1"/>
  <c r="S150" i="1"/>
  <c r="M152" i="1"/>
  <c r="O152" i="1" l="1"/>
  <c r="S151" i="1"/>
  <c r="M153" i="1"/>
  <c r="O153" i="1" l="1"/>
  <c r="S152" i="1"/>
  <c r="M154" i="1"/>
  <c r="O154" i="1" l="1"/>
  <c r="S153" i="1"/>
  <c r="M155" i="1"/>
  <c r="O155" i="1" l="1"/>
  <c r="S154" i="1"/>
  <c r="M156" i="1"/>
  <c r="S155" i="1" l="1"/>
  <c r="O156" i="1"/>
  <c r="M157" i="1"/>
  <c r="S156" i="1" l="1"/>
  <c r="O157" i="1"/>
  <c r="M158" i="1"/>
  <c r="S157" i="1" l="1"/>
  <c r="O158" i="1"/>
  <c r="M159" i="1"/>
  <c r="S158" i="1" l="1"/>
  <c r="O159" i="1"/>
  <c r="M160" i="1"/>
  <c r="S159" i="1" l="1"/>
  <c r="O160" i="1"/>
  <c r="M161" i="1"/>
  <c r="S160" i="1" l="1"/>
  <c r="O161" i="1"/>
  <c r="M162" i="1"/>
  <c r="S161" i="1" l="1"/>
  <c r="O162" i="1"/>
  <c r="M163" i="1"/>
  <c r="S162" i="1" l="1"/>
  <c r="O163" i="1"/>
  <c r="M164" i="1"/>
  <c r="S163" i="1" l="1"/>
  <c r="O164" i="1"/>
  <c r="M165" i="1"/>
  <c r="S164" i="1" l="1"/>
  <c r="O165" i="1"/>
  <c r="M166" i="1"/>
  <c r="S165" i="1" l="1"/>
  <c r="O166" i="1"/>
  <c r="M167" i="1"/>
  <c r="S166" i="1" l="1"/>
  <c r="O167" i="1"/>
  <c r="M168" i="1"/>
  <c r="S167" i="1" l="1"/>
  <c r="O168" i="1"/>
  <c r="M169" i="1"/>
  <c r="S168" i="1" l="1"/>
  <c r="O169" i="1"/>
  <c r="M170" i="1"/>
  <c r="S169" i="1" l="1"/>
  <c r="O170" i="1"/>
  <c r="M171" i="1"/>
  <c r="S170" i="1" l="1"/>
  <c r="O171" i="1"/>
  <c r="M172" i="1"/>
  <c r="S171" i="1" l="1"/>
  <c r="O172" i="1"/>
  <c r="M173" i="1"/>
  <c r="S172" i="1" l="1"/>
  <c r="O173" i="1"/>
  <c r="M174" i="1"/>
  <c r="S173" i="1" l="1"/>
  <c r="O174" i="1"/>
  <c r="M175" i="1"/>
  <c r="S174" i="1" l="1"/>
  <c r="O175" i="1"/>
  <c r="M176" i="1"/>
  <c r="S175" i="1" l="1"/>
  <c r="O176" i="1"/>
  <c r="M177" i="1"/>
  <c r="S176" i="1" l="1"/>
  <c r="O177" i="1"/>
  <c r="M178" i="1"/>
  <c r="S177" i="1" l="1"/>
  <c r="O178" i="1"/>
  <c r="M179" i="1"/>
  <c r="S178" i="1" l="1"/>
  <c r="O179" i="1"/>
  <c r="M180" i="1"/>
  <c r="S179" i="1" l="1"/>
  <c r="O180" i="1"/>
  <c r="M181" i="1"/>
  <c r="S180" i="1" l="1"/>
  <c r="O181" i="1"/>
  <c r="M182" i="1"/>
  <c r="S181" i="1" l="1"/>
  <c r="O182" i="1"/>
  <c r="M183" i="1"/>
  <c r="S182" i="1" l="1"/>
  <c r="O183" i="1"/>
  <c r="M184" i="1"/>
  <c r="S183" i="1" l="1"/>
  <c r="O184" i="1"/>
  <c r="M185" i="1"/>
  <c r="S184" i="1" l="1"/>
  <c r="O185" i="1"/>
  <c r="M186" i="1"/>
  <c r="S185" i="1" l="1"/>
  <c r="O186" i="1"/>
  <c r="M187" i="1"/>
  <c r="S186" i="1" l="1"/>
  <c r="O187" i="1"/>
  <c r="M188" i="1"/>
  <c r="S187" i="1" l="1"/>
  <c r="O188" i="1"/>
  <c r="M189" i="1"/>
  <c r="S188" i="1" l="1"/>
  <c r="O189" i="1"/>
  <c r="M190" i="1"/>
  <c r="S189" i="1" l="1"/>
  <c r="O190" i="1"/>
  <c r="M191" i="1"/>
  <c r="S190" i="1" l="1"/>
  <c r="O191" i="1"/>
  <c r="M192" i="1"/>
  <c r="S191" i="1" l="1"/>
  <c r="O192" i="1"/>
  <c r="M193" i="1"/>
  <c r="S192" i="1" l="1"/>
  <c r="O193" i="1"/>
  <c r="M194" i="1"/>
  <c r="S193" i="1" l="1"/>
  <c r="O194" i="1"/>
  <c r="M195" i="1"/>
  <c r="S194" i="1" l="1"/>
  <c r="O195" i="1"/>
  <c r="M196" i="1"/>
  <c r="S195" i="1" l="1"/>
  <c r="O196" i="1"/>
  <c r="M197" i="1"/>
  <c r="S196" i="1" l="1"/>
  <c r="O197" i="1"/>
  <c r="M198" i="1"/>
  <c r="S197" i="1" l="1"/>
  <c r="O198" i="1"/>
  <c r="M199" i="1"/>
  <c r="S198" i="1" l="1"/>
  <c r="O199" i="1"/>
  <c r="M200" i="1"/>
  <c r="S199" i="1" l="1"/>
  <c r="O200" i="1"/>
  <c r="M201" i="1"/>
  <c r="S200" i="1" l="1"/>
  <c r="O201" i="1"/>
  <c r="M202" i="1"/>
  <c r="S201" i="1" l="1"/>
  <c r="O202" i="1"/>
  <c r="M203" i="1"/>
  <c r="S202" i="1" l="1"/>
  <c r="O203" i="1"/>
  <c r="M204" i="1"/>
  <c r="S203" i="1" l="1"/>
  <c r="O204" i="1"/>
  <c r="M205" i="1"/>
  <c r="S204" i="1" l="1"/>
  <c r="O205" i="1"/>
  <c r="M206" i="1"/>
  <c r="S205" i="1" l="1"/>
  <c r="O206" i="1"/>
  <c r="M207" i="1"/>
  <c r="S206" i="1" l="1"/>
  <c r="O207" i="1"/>
  <c r="M208" i="1"/>
  <c r="S207" i="1" l="1"/>
  <c r="O208" i="1"/>
  <c r="M209" i="1"/>
  <c r="S208" i="1" l="1"/>
  <c r="O209" i="1"/>
  <c r="M210" i="1"/>
  <c r="S209" i="1" l="1"/>
  <c r="O210" i="1"/>
  <c r="M211" i="1"/>
  <c r="S210" i="1" l="1"/>
  <c r="O211" i="1"/>
  <c r="M212" i="1"/>
  <c r="S211" i="1" l="1"/>
  <c r="O212" i="1"/>
  <c r="M213" i="1"/>
  <c r="S212" i="1" l="1"/>
  <c r="O213" i="1"/>
  <c r="M214" i="1"/>
  <c r="S213" i="1" l="1"/>
  <c r="O214" i="1"/>
  <c r="M215" i="1"/>
  <c r="S214" i="1" l="1"/>
  <c r="O215" i="1"/>
  <c r="M216" i="1"/>
  <c r="S215" i="1" l="1"/>
  <c r="O216" i="1"/>
  <c r="M217" i="1"/>
  <c r="S216" i="1" l="1"/>
  <c r="O217" i="1"/>
  <c r="M218" i="1"/>
  <c r="S217" i="1" l="1"/>
  <c r="O218" i="1"/>
  <c r="M219" i="1"/>
  <c r="S218" i="1" l="1"/>
  <c r="O219" i="1"/>
  <c r="M220" i="1"/>
  <c r="S219" i="1" l="1"/>
  <c r="O220" i="1"/>
  <c r="M221" i="1"/>
  <c r="S220" i="1" l="1"/>
  <c r="O221" i="1"/>
  <c r="M222" i="1"/>
  <c r="S221" i="1" l="1"/>
  <c r="O222" i="1"/>
  <c r="M223" i="1"/>
  <c r="S222" i="1" l="1"/>
  <c r="O223" i="1"/>
  <c r="M224" i="1"/>
  <c r="S223" i="1" l="1"/>
  <c r="O224" i="1"/>
  <c r="M225" i="1"/>
  <c r="S224" i="1" l="1"/>
  <c r="O225" i="1"/>
  <c r="M226" i="1"/>
  <c r="S225" i="1" l="1"/>
  <c r="O226" i="1"/>
  <c r="M227" i="1"/>
  <c r="S226" i="1" l="1"/>
  <c r="O227" i="1"/>
  <c r="M228" i="1"/>
  <c r="S227" i="1" l="1"/>
  <c r="O228" i="1"/>
  <c r="M229" i="1"/>
  <c r="S228" i="1" l="1"/>
  <c r="O229" i="1"/>
  <c r="M230" i="1"/>
  <c r="S229" i="1" l="1"/>
  <c r="O230" i="1"/>
  <c r="M231" i="1"/>
  <c r="S230" i="1" l="1"/>
  <c r="O231" i="1"/>
  <c r="M232" i="1"/>
  <c r="S231" i="1" l="1"/>
  <c r="O232" i="1"/>
  <c r="M233" i="1"/>
  <c r="S232" i="1" l="1"/>
  <c r="O233" i="1"/>
  <c r="M234" i="1"/>
  <c r="S233" i="1" l="1"/>
  <c r="O234" i="1"/>
  <c r="M235" i="1"/>
  <c r="S234" i="1" l="1"/>
  <c r="O235" i="1"/>
  <c r="M236" i="1"/>
  <c r="S235" i="1" l="1"/>
  <c r="O236" i="1"/>
  <c r="M237" i="1"/>
  <c r="S236" i="1" l="1"/>
  <c r="O237" i="1"/>
  <c r="M238" i="1"/>
  <c r="S237" i="1" l="1"/>
  <c r="O238" i="1"/>
  <c r="M239" i="1"/>
  <c r="S238" i="1" l="1"/>
  <c r="O239" i="1"/>
  <c r="M240" i="1"/>
  <c r="S239" i="1" l="1"/>
  <c r="O240" i="1"/>
  <c r="M241" i="1"/>
  <c r="S240" i="1" l="1"/>
  <c r="O241" i="1"/>
  <c r="M242" i="1"/>
  <c r="S241" i="1" l="1"/>
  <c r="O242" i="1"/>
  <c r="M243" i="1"/>
  <c r="S242" i="1" l="1"/>
  <c r="O243" i="1"/>
  <c r="M244" i="1"/>
  <c r="S243" i="1" l="1"/>
  <c r="O244" i="1"/>
  <c r="M245" i="1"/>
  <c r="S244" i="1" l="1"/>
  <c r="O245" i="1"/>
  <c r="M246" i="1"/>
  <c r="S245" i="1" l="1"/>
  <c r="O246" i="1"/>
  <c r="M247" i="1"/>
  <c r="S246" i="1" l="1"/>
  <c r="O247" i="1"/>
  <c r="M248" i="1"/>
  <c r="S247" i="1" l="1"/>
  <c r="O248" i="1"/>
  <c r="M249" i="1"/>
  <c r="S248" i="1" l="1"/>
  <c r="O249" i="1"/>
  <c r="M250" i="1"/>
  <c r="S249" i="1" l="1"/>
  <c r="O250" i="1"/>
  <c r="M251" i="1"/>
  <c r="S250" i="1" l="1"/>
  <c r="O251" i="1"/>
  <c r="M252" i="1"/>
  <c r="S251" i="1" l="1"/>
  <c r="O252" i="1"/>
  <c r="M253" i="1"/>
  <c r="S252" i="1" l="1"/>
  <c r="O253" i="1"/>
  <c r="M254" i="1"/>
  <c r="S253" i="1" l="1"/>
  <c r="O254" i="1"/>
  <c r="M255" i="1"/>
  <c r="S254" i="1" l="1"/>
  <c r="O255" i="1"/>
  <c r="M256" i="1"/>
  <c r="S255" i="1" l="1"/>
  <c r="O256" i="1"/>
  <c r="M257" i="1"/>
  <c r="S256" i="1" l="1"/>
  <c r="O257" i="1"/>
  <c r="M258" i="1"/>
  <c r="S257" i="1" l="1"/>
  <c r="O258" i="1"/>
  <c r="M259" i="1"/>
  <c r="S258" i="1" l="1"/>
  <c r="O259" i="1"/>
  <c r="M260" i="1"/>
  <c r="S259" i="1" l="1"/>
  <c r="O260" i="1"/>
  <c r="M261" i="1"/>
  <c r="S260" i="1" l="1"/>
  <c r="O261" i="1"/>
  <c r="M262" i="1"/>
  <c r="S261" i="1" l="1"/>
  <c r="O262" i="1"/>
  <c r="M263" i="1"/>
  <c r="S262" i="1" l="1"/>
  <c r="O263" i="1"/>
  <c r="M264" i="1"/>
  <c r="S263" i="1" l="1"/>
  <c r="O264" i="1"/>
  <c r="M265" i="1"/>
  <c r="S264" i="1" l="1"/>
  <c r="O265" i="1"/>
  <c r="M266" i="1"/>
  <c r="S265" i="1" l="1"/>
  <c r="O266" i="1"/>
  <c r="M267" i="1"/>
  <c r="S266" i="1" l="1"/>
  <c r="O267" i="1"/>
  <c r="M268" i="1"/>
  <c r="S267" i="1" l="1"/>
  <c r="O268" i="1"/>
  <c r="M269" i="1"/>
  <c r="S268" i="1" l="1"/>
  <c r="O269" i="1"/>
  <c r="M270" i="1"/>
  <c r="S269" i="1" l="1"/>
  <c r="O270" i="1"/>
  <c r="M271" i="1"/>
  <c r="S270" i="1" l="1"/>
  <c r="O271" i="1"/>
  <c r="M272" i="1"/>
  <c r="S271" i="1" l="1"/>
  <c r="O272" i="1"/>
  <c r="M273" i="1"/>
  <c r="S272" i="1" l="1"/>
  <c r="O273" i="1"/>
  <c r="M274" i="1"/>
  <c r="S273" i="1" l="1"/>
  <c r="O274" i="1"/>
  <c r="M275" i="1"/>
  <c r="S274" i="1" l="1"/>
  <c r="O275" i="1"/>
  <c r="M276" i="1"/>
  <c r="S275" i="1" l="1"/>
  <c r="O276" i="1"/>
  <c r="M277" i="1"/>
  <c r="S276" i="1" l="1"/>
  <c r="O277" i="1"/>
  <c r="M278" i="1"/>
  <c r="S277" i="1" l="1"/>
  <c r="O278" i="1"/>
  <c r="M279" i="1"/>
  <c r="S278" i="1" l="1"/>
  <c r="O279" i="1"/>
  <c r="M280" i="1"/>
  <c r="S279" i="1" l="1"/>
  <c r="O280" i="1"/>
  <c r="M281" i="1"/>
  <c r="S280" i="1" l="1"/>
  <c r="O281" i="1"/>
  <c r="M282" i="1"/>
  <c r="S281" i="1" l="1"/>
  <c r="O282" i="1"/>
  <c r="M283" i="1"/>
  <c r="S282" i="1" l="1"/>
  <c r="O283" i="1"/>
  <c r="M284" i="1"/>
  <c r="S283" i="1" l="1"/>
  <c r="O284" i="1"/>
  <c r="M285" i="1"/>
  <c r="S284" i="1" l="1"/>
  <c r="O285" i="1"/>
  <c r="M286" i="1"/>
  <c r="S285" i="1" l="1"/>
  <c r="O286" i="1"/>
  <c r="M287" i="1"/>
  <c r="S286" i="1" l="1"/>
  <c r="O287" i="1"/>
  <c r="M288" i="1"/>
  <c r="S287" i="1" l="1"/>
  <c r="O288" i="1"/>
  <c r="M289" i="1"/>
  <c r="S288" i="1" l="1"/>
  <c r="O289" i="1"/>
  <c r="M290" i="1"/>
  <c r="S289" i="1" l="1"/>
  <c r="O290" i="1"/>
  <c r="M291" i="1"/>
  <c r="S290" i="1" l="1"/>
  <c r="O291" i="1"/>
  <c r="M292" i="1"/>
  <c r="S291" i="1" l="1"/>
  <c r="O292" i="1"/>
  <c r="M293" i="1"/>
  <c r="S292" i="1" l="1"/>
  <c r="O293" i="1"/>
  <c r="S293" i="1" s="1"/>
</calcChain>
</file>

<file path=xl/sharedStrings.xml><?xml version="1.0" encoding="utf-8"?>
<sst xmlns="http://schemas.openxmlformats.org/spreadsheetml/2006/main" count="23" uniqueCount="21">
  <si>
    <t>Time (s)</t>
  </si>
  <si>
    <t>TI</t>
  </si>
  <si>
    <t>Millis</t>
  </si>
  <si>
    <t>Ax</t>
  </si>
  <si>
    <t>Ay</t>
  </si>
  <si>
    <t>Az</t>
  </si>
  <si>
    <t>Cx</t>
  </si>
  <si>
    <t>Cy</t>
  </si>
  <si>
    <t>Cz</t>
  </si>
  <si>
    <t>Vx</t>
  </si>
  <si>
    <t>Vy</t>
  </si>
  <si>
    <t>Vz</t>
  </si>
  <si>
    <t>Dx</t>
  </si>
  <si>
    <t>Dy</t>
  </si>
  <si>
    <t>Dz</t>
  </si>
  <si>
    <t>Threshold</t>
  </si>
  <si>
    <t xml:space="preserve"> </t>
  </si>
  <si>
    <t>Trapezoidal Method</t>
  </si>
  <si>
    <t>Sum</t>
  </si>
  <si>
    <t>Std dev</t>
  </si>
  <si>
    <t>Extensometer Displacement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</si>
</sst>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2" fillId="2" borderId="0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548381452318461"/>
          <c:y val="5.0925925925925923E-2"/>
          <c:w val="0.80644575678040231"/>
          <c:h val="0.73053222513852423"/>
        </c:manualLayout>
      </c:layout>
      <c:scatterChart>
        <c:scatterStyle val="smoothMarker"/>
        <c:varyColors val="0"/>
        <c:ser>
          <c:idx val="1"/>
          <c:order val="0"/>
          <c:tx>
            <c:v>Extensometer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Sheet1!$C$2:$C$293</c:f>
              <c:numCache>
                <c:formatCode>General</c:formatCode>
                <c:ptCount val="292"/>
                <c:pt idx="0">
                  <c:v>0</c:v>
                </c:pt>
                <c:pt idx="1">
                  <c:v>0.09</c:v>
                </c:pt>
                <c:pt idx="2">
                  <c:v>0.18099999999999999</c:v>
                </c:pt>
                <c:pt idx="3">
                  <c:v>0.27200000000000002</c:v>
                </c:pt>
                <c:pt idx="4">
                  <c:v>0.36199999999999999</c:v>
                </c:pt>
                <c:pt idx="5">
                  <c:v>0.45300000000000001</c:v>
                </c:pt>
                <c:pt idx="6">
                  <c:v>0.54400000000000004</c:v>
                </c:pt>
                <c:pt idx="7">
                  <c:v>0.63400000000000001</c:v>
                </c:pt>
                <c:pt idx="8">
                  <c:v>0.72599999999999998</c:v>
                </c:pt>
                <c:pt idx="9">
                  <c:v>0.81699999999999995</c:v>
                </c:pt>
                <c:pt idx="10">
                  <c:v>0.90700000000000003</c:v>
                </c:pt>
                <c:pt idx="11">
                  <c:v>0.998</c:v>
                </c:pt>
                <c:pt idx="12">
                  <c:v>1.089</c:v>
                </c:pt>
                <c:pt idx="13">
                  <c:v>1.179</c:v>
                </c:pt>
                <c:pt idx="14">
                  <c:v>1.27</c:v>
                </c:pt>
                <c:pt idx="15">
                  <c:v>1.361</c:v>
                </c:pt>
                <c:pt idx="16">
                  <c:v>1.452</c:v>
                </c:pt>
                <c:pt idx="17">
                  <c:v>1.5429999999999999</c:v>
                </c:pt>
                <c:pt idx="18">
                  <c:v>1.6339999999999999</c:v>
                </c:pt>
                <c:pt idx="19">
                  <c:v>1.724</c:v>
                </c:pt>
                <c:pt idx="20">
                  <c:v>1.8149999999999999</c:v>
                </c:pt>
                <c:pt idx="21">
                  <c:v>1.9059999999999999</c:v>
                </c:pt>
                <c:pt idx="22">
                  <c:v>1.996</c:v>
                </c:pt>
                <c:pt idx="23">
                  <c:v>2.0870000000000002</c:v>
                </c:pt>
                <c:pt idx="24">
                  <c:v>2.1789999999999998</c:v>
                </c:pt>
                <c:pt idx="25">
                  <c:v>2.2690000000000001</c:v>
                </c:pt>
                <c:pt idx="26">
                  <c:v>2.36</c:v>
                </c:pt>
                <c:pt idx="27">
                  <c:v>2.4510000000000001</c:v>
                </c:pt>
                <c:pt idx="28">
                  <c:v>2.5409999999999999</c:v>
                </c:pt>
                <c:pt idx="29">
                  <c:v>2.6320000000000001</c:v>
                </c:pt>
                <c:pt idx="30">
                  <c:v>2.7229999999999999</c:v>
                </c:pt>
                <c:pt idx="31">
                  <c:v>2.8130000000000002</c:v>
                </c:pt>
                <c:pt idx="32">
                  <c:v>2.9049999999999998</c:v>
                </c:pt>
                <c:pt idx="33">
                  <c:v>2.996</c:v>
                </c:pt>
                <c:pt idx="34">
                  <c:v>3.0859999999999999</c:v>
                </c:pt>
                <c:pt idx="35">
                  <c:v>3.177</c:v>
                </c:pt>
                <c:pt idx="36">
                  <c:v>3.2679999999999998</c:v>
                </c:pt>
                <c:pt idx="37">
                  <c:v>3.3580000000000001</c:v>
                </c:pt>
                <c:pt idx="38">
                  <c:v>3.4489999999999998</c:v>
                </c:pt>
                <c:pt idx="39">
                  <c:v>3.5409999999999999</c:v>
                </c:pt>
                <c:pt idx="40">
                  <c:v>3.6309999999999998</c:v>
                </c:pt>
                <c:pt idx="41">
                  <c:v>3.722</c:v>
                </c:pt>
                <c:pt idx="42">
                  <c:v>3.8130000000000002</c:v>
                </c:pt>
                <c:pt idx="43">
                  <c:v>3.903</c:v>
                </c:pt>
                <c:pt idx="44">
                  <c:v>3.9940000000000002</c:v>
                </c:pt>
                <c:pt idx="45">
                  <c:v>4.085</c:v>
                </c:pt>
                <c:pt idx="46">
                  <c:v>4.1749999999999998</c:v>
                </c:pt>
                <c:pt idx="47">
                  <c:v>4.2670000000000003</c:v>
                </c:pt>
                <c:pt idx="48">
                  <c:v>4.3579999999999997</c:v>
                </c:pt>
                <c:pt idx="49">
                  <c:v>4.4480000000000004</c:v>
                </c:pt>
                <c:pt idx="50">
                  <c:v>4.5389999999999997</c:v>
                </c:pt>
                <c:pt idx="51">
                  <c:v>4.63</c:v>
                </c:pt>
                <c:pt idx="52">
                  <c:v>4.72</c:v>
                </c:pt>
                <c:pt idx="53">
                  <c:v>4.8109999999999999</c:v>
                </c:pt>
                <c:pt idx="54">
                  <c:v>4.9020000000000001</c:v>
                </c:pt>
                <c:pt idx="55">
                  <c:v>4.9930000000000003</c:v>
                </c:pt>
                <c:pt idx="56">
                  <c:v>5.0839999999999996</c:v>
                </c:pt>
                <c:pt idx="57">
                  <c:v>5.1749999999999998</c:v>
                </c:pt>
                <c:pt idx="58">
                  <c:v>5.2649999999999997</c:v>
                </c:pt>
                <c:pt idx="59">
                  <c:v>5.3559999999999999</c:v>
                </c:pt>
                <c:pt idx="60">
                  <c:v>5.4470000000000001</c:v>
                </c:pt>
                <c:pt idx="61">
                  <c:v>5.5369999999999999</c:v>
                </c:pt>
                <c:pt idx="62">
                  <c:v>5.6280000000000001</c:v>
                </c:pt>
                <c:pt idx="63">
                  <c:v>5.72</c:v>
                </c:pt>
                <c:pt idx="64">
                  <c:v>5.81</c:v>
                </c:pt>
                <c:pt idx="65">
                  <c:v>5.9009999999999998</c:v>
                </c:pt>
                <c:pt idx="66">
                  <c:v>5.992</c:v>
                </c:pt>
                <c:pt idx="67">
                  <c:v>6.0819999999999999</c:v>
                </c:pt>
                <c:pt idx="68">
                  <c:v>6.173</c:v>
                </c:pt>
                <c:pt idx="69">
                  <c:v>6.2640000000000002</c:v>
                </c:pt>
                <c:pt idx="70">
                  <c:v>6.3540000000000001</c:v>
                </c:pt>
                <c:pt idx="71">
                  <c:v>6.4459999999999997</c:v>
                </c:pt>
                <c:pt idx="72">
                  <c:v>6.5369999999999999</c:v>
                </c:pt>
                <c:pt idx="73">
                  <c:v>6.6269999999999998</c:v>
                </c:pt>
                <c:pt idx="74">
                  <c:v>6.718</c:v>
                </c:pt>
                <c:pt idx="75">
                  <c:v>6.8090000000000002</c:v>
                </c:pt>
                <c:pt idx="76">
                  <c:v>6.899</c:v>
                </c:pt>
                <c:pt idx="77">
                  <c:v>6.99</c:v>
                </c:pt>
                <c:pt idx="78">
                  <c:v>7.0810000000000004</c:v>
                </c:pt>
                <c:pt idx="79">
                  <c:v>7.1719999999999997</c:v>
                </c:pt>
                <c:pt idx="80">
                  <c:v>7.2629999999999999</c:v>
                </c:pt>
                <c:pt idx="81">
                  <c:v>7.3540000000000001</c:v>
                </c:pt>
                <c:pt idx="82">
                  <c:v>7.444</c:v>
                </c:pt>
                <c:pt idx="83">
                  <c:v>7.5350000000000001</c:v>
                </c:pt>
                <c:pt idx="84">
                  <c:v>7.6260000000000003</c:v>
                </c:pt>
                <c:pt idx="85">
                  <c:v>7.7160000000000002</c:v>
                </c:pt>
                <c:pt idx="86">
                  <c:v>7.8079999999999998</c:v>
                </c:pt>
                <c:pt idx="87">
                  <c:v>7.899</c:v>
                </c:pt>
                <c:pt idx="88">
                  <c:v>7.9889999999999999</c:v>
                </c:pt>
                <c:pt idx="89">
                  <c:v>8.08</c:v>
                </c:pt>
                <c:pt idx="90">
                  <c:v>8.1709999999999994</c:v>
                </c:pt>
                <c:pt idx="91">
                  <c:v>8.2609999999999992</c:v>
                </c:pt>
                <c:pt idx="92">
                  <c:v>8.3520000000000003</c:v>
                </c:pt>
                <c:pt idx="93">
                  <c:v>8.4429999999999996</c:v>
                </c:pt>
                <c:pt idx="94">
                  <c:v>8.5340000000000007</c:v>
                </c:pt>
                <c:pt idx="95">
                  <c:v>8.625</c:v>
                </c:pt>
                <c:pt idx="96">
                  <c:v>8.7159999999999993</c:v>
                </c:pt>
                <c:pt idx="97">
                  <c:v>8.8059999999999992</c:v>
                </c:pt>
                <c:pt idx="98">
                  <c:v>8.8970000000000002</c:v>
                </c:pt>
                <c:pt idx="99">
                  <c:v>8.9879999999999995</c:v>
                </c:pt>
                <c:pt idx="100">
                  <c:v>9.0779999999999994</c:v>
                </c:pt>
                <c:pt idx="101">
                  <c:v>9.1690000000000005</c:v>
                </c:pt>
                <c:pt idx="102">
                  <c:v>9.2609999999999992</c:v>
                </c:pt>
                <c:pt idx="103">
                  <c:v>9.3510000000000009</c:v>
                </c:pt>
                <c:pt idx="104">
                  <c:v>9.4420000000000002</c:v>
                </c:pt>
                <c:pt idx="105">
                  <c:v>9.5329999999999995</c:v>
                </c:pt>
                <c:pt idx="106">
                  <c:v>9.6229999999999993</c:v>
                </c:pt>
                <c:pt idx="107">
                  <c:v>9.7140000000000004</c:v>
                </c:pt>
                <c:pt idx="108">
                  <c:v>9.8049999999999997</c:v>
                </c:pt>
                <c:pt idx="109">
                  <c:v>9.8949999999999996</c:v>
                </c:pt>
                <c:pt idx="110">
                  <c:v>9.9870000000000001</c:v>
                </c:pt>
                <c:pt idx="111">
                  <c:v>10.077999999999999</c:v>
                </c:pt>
                <c:pt idx="112">
                  <c:v>10.167999999999999</c:v>
                </c:pt>
                <c:pt idx="113">
                  <c:v>10.259</c:v>
                </c:pt>
                <c:pt idx="114">
                  <c:v>10.35</c:v>
                </c:pt>
                <c:pt idx="115">
                  <c:v>10.44</c:v>
                </c:pt>
                <c:pt idx="116">
                  <c:v>10.531000000000001</c:v>
                </c:pt>
                <c:pt idx="117">
                  <c:v>10.622</c:v>
                </c:pt>
                <c:pt idx="118">
                  <c:v>10.712999999999999</c:v>
                </c:pt>
                <c:pt idx="119">
                  <c:v>10.804</c:v>
                </c:pt>
                <c:pt idx="120">
                  <c:v>10.895</c:v>
                </c:pt>
                <c:pt idx="121">
                  <c:v>10.984999999999999</c:v>
                </c:pt>
                <c:pt idx="122">
                  <c:v>11.076000000000001</c:v>
                </c:pt>
                <c:pt idx="123">
                  <c:v>11.167</c:v>
                </c:pt>
                <c:pt idx="124">
                  <c:v>11.257</c:v>
                </c:pt>
                <c:pt idx="125">
                  <c:v>11.349</c:v>
                </c:pt>
                <c:pt idx="126">
                  <c:v>11.44</c:v>
                </c:pt>
                <c:pt idx="127">
                  <c:v>11.53</c:v>
                </c:pt>
                <c:pt idx="128">
                  <c:v>11.621</c:v>
                </c:pt>
                <c:pt idx="129">
                  <c:v>11.712</c:v>
                </c:pt>
                <c:pt idx="130">
                  <c:v>11.802</c:v>
                </c:pt>
                <c:pt idx="131">
                  <c:v>11.893000000000001</c:v>
                </c:pt>
                <c:pt idx="132">
                  <c:v>11.984</c:v>
                </c:pt>
                <c:pt idx="133">
                  <c:v>12.074999999999999</c:v>
                </c:pt>
                <c:pt idx="134">
                  <c:v>12.166</c:v>
                </c:pt>
                <c:pt idx="135">
                  <c:v>12.257</c:v>
                </c:pt>
                <c:pt idx="136">
                  <c:v>12.347</c:v>
                </c:pt>
                <c:pt idx="137">
                  <c:v>12.438000000000001</c:v>
                </c:pt>
                <c:pt idx="138">
                  <c:v>12.529</c:v>
                </c:pt>
                <c:pt idx="139">
                  <c:v>12.619</c:v>
                </c:pt>
                <c:pt idx="140">
                  <c:v>12.71</c:v>
                </c:pt>
                <c:pt idx="141">
                  <c:v>12.802</c:v>
                </c:pt>
                <c:pt idx="142">
                  <c:v>12.891999999999999</c:v>
                </c:pt>
                <c:pt idx="143">
                  <c:v>12.983000000000001</c:v>
                </c:pt>
                <c:pt idx="144">
                  <c:v>13.074</c:v>
                </c:pt>
                <c:pt idx="145">
                  <c:v>13.164</c:v>
                </c:pt>
                <c:pt idx="146">
                  <c:v>13.255000000000001</c:v>
                </c:pt>
                <c:pt idx="147">
                  <c:v>13.346</c:v>
                </c:pt>
                <c:pt idx="148">
                  <c:v>13.436</c:v>
                </c:pt>
                <c:pt idx="149">
                  <c:v>13.528</c:v>
                </c:pt>
                <c:pt idx="150">
                  <c:v>13.619</c:v>
                </c:pt>
                <c:pt idx="151">
                  <c:v>13.709</c:v>
                </c:pt>
                <c:pt idx="152">
                  <c:v>13.8</c:v>
                </c:pt>
                <c:pt idx="153">
                  <c:v>13.891</c:v>
                </c:pt>
                <c:pt idx="154">
                  <c:v>13.981</c:v>
                </c:pt>
                <c:pt idx="155">
                  <c:v>14.071999999999999</c:v>
                </c:pt>
                <c:pt idx="156">
                  <c:v>14.163</c:v>
                </c:pt>
                <c:pt idx="157">
                  <c:v>14.254</c:v>
                </c:pt>
                <c:pt idx="158">
                  <c:v>14.345000000000001</c:v>
                </c:pt>
                <c:pt idx="159">
                  <c:v>14.436</c:v>
                </c:pt>
                <c:pt idx="160">
                  <c:v>14.526</c:v>
                </c:pt>
                <c:pt idx="161">
                  <c:v>14.617000000000001</c:v>
                </c:pt>
                <c:pt idx="162">
                  <c:v>14.708</c:v>
                </c:pt>
                <c:pt idx="163">
                  <c:v>14.798</c:v>
                </c:pt>
                <c:pt idx="164">
                  <c:v>14.888999999999999</c:v>
                </c:pt>
                <c:pt idx="165">
                  <c:v>14.981</c:v>
                </c:pt>
                <c:pt idx="166">
                  <c:v>15.071</c:v>
                </c:pt>
                <c:pt idx="167">
                  <c:v>15.162000000000001</c:v>
                </c:pt>
                <c:pt idx="168">
                  <c:v>15.253</c:v>
                </c:pt>
                <c:pt idx="169">
                  <c:v>15.343</c:v>
                </c:pt>
                <c:pt idx="170">
                  <c:v>15.433999999999999</c:v>
                </c:pt>
                <c:pt idx="171">
                  <c:v>15.525</c:v>
                </c:pt>
                <c:pt idx="172">
                  <c:v>15.616</c:v>
                </c:pt>
                <c:pt idx="173">
                  <c:v>15.707000000000001</c:v>
                </c:pt>
                <c:pt idx="174">
                  <c:v>15.798</c:v>
                </c:pt>
                <c:pt idx="175">
                  <c:v>15.888</c:v>
                </c:pt>
                <c:pt idx="176">
                  <c:v>15.978999999999999</c:v>
                </c:pt>
                <c:pt idx="177">
                  <c:v>16.07</c:v>
                </c:pt>
                <c:pt idx="178">
                  <c:v>16.16</c:v>
                </c:pt>
                <c:pt idx="179">
                  <c:v>16.251000000000001</c:v>
                </c:pt>
                <c:pt idx="180">
                  <c:v>16.343</c:v>
                </c:pt>
                <c:pt idx="181">
                  <c:v>16.433</c:v>
                </c:pt>
                <c:pt idx="182">
                  <c:v>16.524000000000001</c:v>
                </c:pt>
                <c:pt idx="183">
                  <c:v>16.614999999999998</c:v>
                </c:pt>
                <c:pt idx="184">
                  <c:v>16.704999999999998</c:v>
                </c:pt>
                <c:pt idx="185">
                  <c:v>16.795999999999999</c:v>
                </c:pt>
                <c:pt idx="186">
                  <c:v>16.887</c:v>
                </c:pt>
                <c:pt idx="187">
                  <c:v>16.977</c:v>
                </c:pt>
                <c:pt idx="188">
                  <c:v>17.068999999999999</c:v>
                </c:pt>
                <c:pt idx="189">
                  <c:v>17.16</c:v>
                </c:pt>
                <c:pt idx="190">
                  <c:v>17.25</c:v>
                </c:pt>
                <c:pt idx="191">
                  <c:v>17.341000000000001</c:v>
                </c:pt>
                <c:pt idx="192">
                  <c:v>17.431999999999999</c:v>
                </c:pt>
                <c:pt idx="193">
                  <c:v>17.521999999999998</c:v>
                </c:pt>
                <c:pt idx="194">
                  <c:v>17.613</c:v>
                </c:pt>
                <c:pt idx="195">
                  <c:v>17.704000000000001</c:v>
                </c:pt>
                <c:pt idx="196">
                  <c:v>17.795000000000002</c:v>
                </c:pt>
                <c:pt idx="197">
                  <c:v>17.885999999999999</c:v>
                </c:pt>
                <c:pt idx="198">
                  <c:v>17.977</c:v>
                </c:pt>
                <c:pt idx="199">
                  <c:v>18.067</c:v>
                </c:pt>
                <c:pt idx="200">
                  <c:v>18.158000000000001</c:v>
                </c:pt>
                <c:pt idx="201">
                  <c:v>18.248999999999999</c:v>
                </c:pt>
                <c:pt idx="202">
                  <c:v>18.338999999999999</c:v>
                </c:pt>
                <c:pt idx="203">
                  <c:v>18.43</c:v>
                </c:pt>
                <c:pt idx="204">
                  <c:v>18.521999999999998</c:v>
                </c:pt>
                <c:pt idx="205">
                  <c:v>18.611999999999998</c:v>
                </c:pt>
                <c:pt idx="206">
                  <c:v>18.702999999999999</c:v>
                </c:pt>
                <c:pt idx="207">
                  <c:v>18.794</c:v>
                </c:pt>
                <c:pt idx="208">
                  <c:v>18.884</c:v>
                </c:pt>
                <c:pt idx="209">
                  <c:v>18.975000000000001</c:v>
                </c:pt>
                <c:pt idx="210">
                  <c:v>19.065999999999999</c:v>
                </c:pt>
                <c:pt idx="211">
                  <c:v>19.157</c:v>
                </c:pt>
                <c:pt idx="212">
                  <c:v>19.248000000000001</c:v>
                </c:pt>
                <c:pt idx="213">
                  <c:v>19.338999999999999</c:v>
                </c:pt>
                <c:pt idx="214">
                  <c:v>19.428999999999998</c:v>
                </c:pt>
                <c:pt idx="215">
                  <c:v>19.52</c:v>
                </c:pt>
                <c:pt idx="216">
                  <c:v>19.611000000000001</c:v>
                </c:pt>
                <c:pt idx="217">
                  <c:v>19.701000000000001</c:v>
                </c:pt>
                <c:pt idx="218">
                  <c:v>19.792000000000002</c:v>
                </c:pt>
                <c:pt idx="219">
                  <c:v>19.884</c:v>
                </c:pt>
                <c:pt idx="220">
                  <c:v>19.974</c:v>
                </c:pt>
                <c:pt idx="221">
                  <c:v>20.065000000000001</c:v>
                </c:pt>
                <c:pt idx="222">
                  <c:v>20.155999999999999</c:v>
                </c:pt>
                <c:pt idx="223">
                  <c:v>20.247</c:v>
                </c:pt>
                <c:pt idx="224">
                  <c:v>20.337</c:v>
                </c:pt>
                <c:pt idx="225">
                  <c:v>20.428000000000001</c:v>
                </c:pt>
                <c:pt idx="226">
                  <c:v>20.518999999999998</c:v>
                </c:pt>
                <c:pt idx="227">
                  <c:v>20.61</c:v>
                </c:pt>
                <c:pt idx="228">
                  <c:v>20.701000000000001</c:v>
                </c:pt>
                <c:pt idx="229">
                  <c:v>20.792000000000002</c:v>
                </c:pt>
                <c:pt idx="230">
                  <c:v>20.882000000000001</c:v>
                </c:pt>
                <c:pt idx="231">
                  <c:v>20.972999999999999</c:v>
                </c:pt>
                <c:pt idx="232">
                  <c:v>21.064</c:v>
                </c:pt>
                <c:pt idx="233">
                  <c:v>21.154</c:v>
                </c:pt>
                <c:pt idx="234">
                  <c:v>21.245000000000001</c:v>
                </c:pt>
                <c:pt idx="235">
                  <c:v>21.337</c:v>
                </c:pt>
                <c:pt idx="236">
                  <c:v>21.427</c:v>
                </c:pt>
                <c:pt idx="237">
                  <c:v>21.518000000000001</c:v>
                </c:pt>
                <c:pt idx="238">
                  <c:v>21.609000000000002</c:v>
                </c:pt>
                <c:pt idx="239">
                  <c:v>21.699000000000002</c:v>
                </c:pt>
                <c:pt idx="240">
                  <c:v>21.79</c:v>
                </c:pt>
                <c:pt idx="241">
                  <c:v>21.881</c:v>
                </c:pt>
                <c:pt idx="242">
                  <c:v>21.971</c:v>
                </c:pt>
                <c:pt idx="243">
                  <c:v>22.062999999999999</c:v>
                </c:pt>
                <c:pt idx="244">
                  <c:v>22.154</c:v>
                </c:pt>
                <c:pt idx="245">
                  <c:v>22.244</c:v>
                </c:pt>
                <c:pt idx="246">
                  <c:v>22.335000000000001</c:v>
                </c:pt>
                <c:pt idx="247">
                  <c:v>22.425999999999998</c:v>
                </c:pt>
                <c:pt idx="248">
                  <c:v>22.515999999999998</c:v>
                </c:pt>
                <c:pt idx="249">
                  <c:v>22.606999999999999</c:v>
                </c:pt>
                <c:pt idx="250">
                  <c:v>22.699000000000002</c:v>
                </c:pt>
                <c:pt idx="251">
                  <c:v>22.789000000000001</c:v>
                </c:pt>
                <c:pt idx="252">
                  <c:v>22.88</c:v>
                </c:pt>
                <c:pt idx="253">
                  <c:v>22.971</c:v>
                </c:pt>
                <c:pt idx="254">
                  <c:v>23.061</c:v>
                </c:pt>
                <c:pt idx="255">
                  <c:v>23.152000000000001</c:v>
                </c:pt>
                <c:pt idx="256">
                  <c:v>23.242999999999999</c:v>
                </c:pt>
                <c:pt idx="257">
                  <c:v>23.332999999999998</c:v>
                </c:pt>
                <c:pt idx="258">
                  <c:v>23.425000000000001</c:v>
                </c:pt>
                <c:pt idx="259">
                  <c:v>23.515999999999998</c:v>
                </c:pt>
                <c:pt idx="260">
                  <c:v>23.606000000000002</c:v>
                </c:pt>
                <c:pt idx="261">
                  <c:v>23.696999999999999</c:v>
                </c:pt>
                <c:pt idx="262">
                  <c:v>23.788</c:v>
                </c:pt>
                <c:pt idx="263">
                  <c:v>23.878</c:v>
                </c:pt>
                <c:pt idx="264">
                  <c:v>23.969000000000001</c:v>
                </c:pt>
                <c:pt idx="265">
                  <c:v>24.06</c:v>
                </c:pt>
                <c:pt idx="266">
                  <c:v>24.151</c:v>
                </c:pt>
                <c:pt idx="267">
                  <c:v>24.242000000000001</c:v>
                </c:pt>
                <c:pt idx="268">
                  <c:v>24.332999999999998</c:v>
                </c:pt>
                <c:pt idx="269">
                  <c:v>24.422999999999998</c:v>
                </c:pt>
                <c:pt idx="270">
                  <c:v>24.513999999999999</c:v>
                </c:pt>
                <c:pt idx="271">
                  <c:v>24.605</c:v>
                </c:pt>
                <c:pt idx="272">
                  <c:v>24.696000000000002</c:v>
                </c:pt>
                <c:pt idx="273">
                  <c:v>24.786000000000001</c:v>
                </c:pt>
                <c:pt idx="274">
                  <c:v>24.878</c:v>
                </c:pt>
                <c:pt idx="275">
                  <c:v>24.969000000000001</c:v>
                </c:pt>
                <c:pt idx="276">
                  <c:v>25.059000000000001</c:v>
                </c:pt>
                <c:pt idx="277">
                  <c:v>25.15</c:v>
                </c:pt>
                <c:pt idx="278">
                  <c:v>25.241</c:v>
                </c:pt>
                <c:pt idx="279">
                  <c:v>25.331</c:v>
                </c:pt>
                <c:pt idx="280">
                  <c:v>25.422000000000001</c:v>
                </c:pt>
                <c:pt idx="281">
                  <c:v>25.513000000000002</c:v>
                </c:pt>
                <c:pt idx="282">
                  <c:v>25.603999999999999</c:v>
                </c:pt>
                <c:pt idx="283">
                  <c:v>25.695</c:v>
                </c:pt>
                <c:pt idx="284">
                  <c:v>25.786000000000001</c:v>
                </c:pt>
                <c:pt idx="285">
                  <c:v>25.876000000000001</c:v>
                </c:pt>
                <c:pt idx="286">
                  <c:v>25.966999999999999</c:v>
                </c:pt>
                <c:pt idx="287">
                  <c:v>26.058</c:v>
                </c:pt>
                <c:pt idx="288">
                  <c:v>26.148</c:v>
                </c:pt>
                <c:pt idx="289">
                  <c:v>26.24</c:v>
                </c:pt>
                <c:pt idx="290">
                  <c:v>26.331</c:v>
                </c:pt>
                <c:pt idx="291">
                  <c:v>26.420999999999999</c:v>
                </c:pt>
              </c:numCache>
            </c:numRef>
          </c:xVal>
          <c:yVal>
            <c:numRef>
              <c:f>Sheet1!$P$2:$P$293</c:f>
              <c:numCache>
                <c:formatCode>General</c:formatCode>
                <c:ptCount val="292"/>
                <c:pt idx="0">
                  <c:v>0</c:v>
                </c:pt>
                <c:pt idx="1">
                  <c:v>0</c:v>
                </c:pt>
                <c:pt idx="2">
                  <c:v>0.42000000000000171</c:v>
                </c:pt>
                <c:pt idx="3">
                  <c:v>0.42000000000000171</c:v>
                </c:pt>
                <c:pt idx="4">
                  <c:v>0.21000000000000085</c:v>
                </c:pt>
                <c:pt idx="5">
                  <c:v>0.42000000000000171</c:v>
                </c:pt>
                <c:pt idx="6">
                  <c:v>-0.2099999999999973</c:v>
                </c:pt>
                <c:pt idx="7">
                  <c:v>0.42000000000000171</c:v>
                </c:pt>
                <c:pt idx="8">
                  <c:v>0.42000000000000171</c:v>
                </c:pt>
                <c:pt idx="9">
                  <c:v>0</c:v>
                </c:pt>
                <c:pt idx="10">
                  <c:v>-0.2099999999999973</c:v>
                </c:pt>
                <c:pt idx="11">
                  <c:v>0.42000000000000171</c:v>
                </c:pt>
                <c:pt idx="12">
                  <c:v>0.21000000000000085</c:v>
                </c:pt>
                <c:pt idx="13">
                  <c:v>0</c:v>
                </c:pt>
                <c:pt idx="14">
                  <c:v>-0.2099999999999973</c:v>
                </c:pt>
                <c:pt idx="15">
                  <c:v>-0.2099999999999973</c:v>
                </c:pt>
                <c:pt idx="16">
                  <c:v>0.42000000000000171</c:v>
                </c:pt>
                <c:pt idx="17">
                  <c:v>0</c:v>
                </c:pt>
                <c:pt idx="18">
                  <c:v>0.21000000000000085</c:v>
                </c:pt>
                <c:pt idx="19">
                  <c:v>0</c:v>
                </c:pt>
                <c:pt idx="20">
                  <c:v>0.42000000000000171</c:v>
                </c:pt>
                <c:pt idx="21">
                  <c:v>0.42000000000000171</c:v>
                </c:pt>
                <c:pt idx="22">
                  <c:v>0.21000000000000085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-0.2099999999999973</c:v>
                </c:pt>
                <c:pt idx="27">
                  <c:v>0.42000000000000171</c:v>
                </c:pt>
                <c:pt idx="28">
                  <c:v>0</c:v>
                </c:pt>
                <c:pt idx="29">
                  <c:v>0.42000000000000171</c:v>
                </c:pt>
                <c:pt idx="30">
                  <c:v>0</c:v>
                </c:pt>
                <c:pt idx="31">
                  <c:v>0.42000000000000171</c:v>
                </c:pt>
                <c:pt idx="32">
                  <c:v>0.42000000000000171</c:v>
                </c:pt>
                <c:pt idx="33">
                  <c:v>0.42000000000000171</c:v>
                </c:pt>
                <c:pt idx="34">
                  <c:v>0</c:v>
                </c:pt>
                <c:pt idx="35">
                  <c:v>-0.2099999999999973</c:v>
                </c:pt>
                <c:pt idx="36">
                  <c:v>0.21000000000000085</c:v>
                </c:pt>
                <c:pt idx="37">
                  <c:v>0</c:v>
                </c:pt>
                <c:pt idx="38">
                  <c:v>0.42000000000000171</c:v>
                </c:pt>
                <c:pt idx="39">
                  <c:v>0</c:v>
                </c:pt>
                <c:pt idx="40">
                  <c:v>0.21000000000000085</c:v>
                </c:pt>
                <c:pt idx="41">
                  <c:v>0.21000000000000085</c:v>
                </c:pt>
                <c:pt idx="42">
                  <c:v>0</c:v>
                </c:pt>
                <c:pt idx="43">
                  <c:v>0.21000000000000085</c:v>
                </c:pt>
                <c:pt idx="44">
                  <c:v>0</c:v>
                </c:pt>
                <c:pt idx="45">
                  <c:v>0.42000000000000171</c:v>
                </c:pt>
                <c:pt idx="46">
                  <c:v>0.42000000000000171</c:v>
                </c:pt>
                <c:pt idx="47">
                  <c:v>-0.2099999999999973</c:v>
                </c:pt>
                <c:pt idx="48">
                  <c:v>0</c:v>
                </c:pt>
                <c:pt idx="49">
                  <c:v>0.42000000000000171</c:v>
                </c:pt>
                <c:pt idx="50">
                  <c:v>0.42000000000000171</c:v>
                </c:pt>
                <c:pt idx="51">
                  <c:v>0.42000000000000171</c:v>
                </c:pt>
                <c:pt idx="52">
                  <c:v>0.42000000000000171</c:v>
                </c:pt>
                <c:pt idx="53">
                  <c:v>0.42000000000000171</c:v>
                </c:pt>
                <c:pt idx="54">
                  <c:v>1.0400000000000027</c:v>
                </c:pt>
                <c:pt idx="55">
                  <c:v>0.21000000000000085</c:v>
                </c:pt>
                <c:pt idx="56">
                  <c:v>0.42000000000000171</c:v>
                </c:pt>
                <c:pt idx="57">
                  <c:v>0.42000000000000171</c:v>
                </c:pt>
                <c:pt idx="58">
                  <c:v>0.21000000000000085</c:v>
                </c:pt>
                <c:pt idx="59">
                  <c:v>0.42000000000000171</c:v>
                </c:pt>
                <c:pt idx="60">
                  <c:v>0</c:v>
                </c:pt>
                <c:pt idx="61">
                  <c:v>0.42000000000000171</c:v>
                </c:pt>
                <c:pt idx="62">
                  <c:v>0.21000000000000085</c:v>
                </c:pt>
                <c:pt idx="63">
                  <c:v>0</c:v>
                </c:pt>
                <c:pt idx="64">
                  <c:v>0</c:v>
                </c:pt>
                <c:pt idx="65">
                  <c:v>0.42000000000000171</c:v>
                </c:pt>
                <c:pt idx="66">
                  <c:v>0.21000000000000085</c:v>
                </c:pt>
                <c:pt idx="67">
                  <c:v>0</c:v>
                </c:pt>
                <c:pt idx="68">
                  <c:v>0</c:v>
                </c:pt>
                <c:pt idx="69">
                  <c:v>0.42000000000000171</c:v>
                </c:pt>
                <c:pt idx="70">
                  <c:v>0.42000000000000171</c:v>
                </c:pt>
                <c:pt idx="71">
                  <c:v>0</c:v>
                </c:pt>
                <c:pt idx="72">
                  <c:v>0.21000000000000085</c:v>
                </c:pt>
                <c:pt idx="73">
                  <c:v>0.42000000000000171</c:v>
                </c:pt>
                <c:pt idx="74">
                  <c:v>0.42000000000000171</c:v>
                </c:pt>
                <c:pt idx="75">
                  <c:v>0.42000000000000171</c:v>
                </c:pt>
                <c:pt idx="76">
                  <c:v>0.42000000000000171</c:v>
                </c:pt>
                <c:pt idx="77">
                  <c:v>0</c:v>
                </c:pt>
                <c:pt idx="78">
                  <c:v>0.42000000000000171</c:v>
                </c:pt>
                <c:pt idx="79">
                  <c:v>0.42000000000000171</c:v>
                </c:pt>
                <c:pt idx="80">
                  <c:v>0.42000000000000171</c:v>
                </c:pt>
                <c:pt idx="81">
                  <c:v>0</c:v>
                </c:pt>
                <c:pt idx="82">
                  <c:v>0</c:v>
                </c:pt>
                <c:pt idx="83">
                  <c:v>0.42000000000000171</c:v>
                </c:pt>
                <c:pt idx="84">
                  <c:v>0</c:v>
                </c:pt>
                <c:pt idx="85">
                  <c:v>0</c:v>
                </c:pt>
                <c:pt idx="86">
                  <c:v>-0.2099999999999973</c:v>
                </c:pt>
                <c:pt idx="87">
                  <c:v>0.42000000000000171</c:v>
                </c:pt>
                <c:pt idx="88">
                  <c:v>0.42000000000000171</c:v>
                </c:pt>
                <c:pt idx="89">
                  <c:v>0</c:v>
                </c:pt>
                <c:pt idx="90">
                  <c:v>0.42000000000000171</c:v>
                </c:pt>
                <c:pt idx="91">
                  <c:v>0.42000000000000171</c:v>
                </c:pt>
                <c:pt idx="92">
                  <c:v>0.83000000000000185</c:v>
                </c:pt>
                <c:pt idx="93">
                  <c:v>0.83000000000000185</c:v>
                </c:pt>
                <c:pt idx="94">
                  <c:v>0.42000000000000171</c:v>
                </c:pt>
                <c:pt idx="95">
                  <c:v>0.42000000000000171</c:v>
                </c:pt>
                <c:pt idx="96">
                  <c:v>0.42000000000000171</c:v>
                </c:pt>
                <c:pt idx="97">
                  <c:v>0</c:v>
                </c:pt>
                <c:pt idx="98">
                  <c:v>0</c:v>
                </c:pt>
                <c:pt idx="99">
                  <c:v>0.42000000000000171</c:v>
                </c:pt>
                <c:pt idx="100">
                  <c:v>0.21000000000000085</c:v>
                </c:pt>
                <c:pt idx="101">
                  <c:v>0.42000000000000171</c:v>
                </c:pt>
                <c:pt idx="102">
                  <c:v>0.42000000000000171</c:v>
                </c:pt>
                <c:pt idx="103">
                  <c:v>-0.2099999999999973</c:v>
                </c:pt>
                <c:pt idx="104">
                  <c:v>0</c:v>
                </c:pt>
                <c:pt idx="105">
                  <c:v>0</c:v>
                </c:pt>
                <c:pt idx="106">
                  <c:v>0.21000000000000085</c:v>
                </c:pt>
                <c:pt idx="107">
                  <c:v>0.21000000000000085</c:v>
                </c:pt>
                <c:pt idx="108">
                  <c:v>0.21000000000000085</c:v>
                </c:pt>
                <c:pt idx="109">
                  <c:v>0.21000000000000085</c:v>
                </c:pt>
                <c:pt idx="110">
                  <c:v>0.21000000000000085</c:v>
                </c:pt>
                <c:pt idx="111">
                  <c:v>0.42000000000000171</c:v>
                </c:pt>
                <c:pt idx="112">
                  <c:v>0.21000000000000085</c:v>
                </c:pt>
                <c:pt idx="113">
                  <c:v>0.42000000000000171</c:v>
                </c:pt>
                <c:pt idx="114">
                  <c:v>0.42000000000000171</c:v>
                </c:pt>
                <c:pt idx="115">
                  <c:v>0</c:v>
                </c:pt>
                <c:pt idx="116">
                  <c:v>-0.2099999999999973</c:v>
                </c:pt>
                <c:pt idx="117">
                  <c:v>0.42000000000000171</c:v>
                </c:pt>
                <c:pt idx="118">
                  <c:v>0.42000000000000171</c:v>
                </c:pt>
                <c:pt idx="119">
                  <c:v>0.42000000000000171</c:v>
                </c:pt>
                <c:pt idx="120">
                  <c:v>0.21000000000000085</c:v>
                </c:pt>
                <c:pt idx="121">
                  <c:v>0</c:v>
                </c:pt>
                <c:pt idx="122">
                  <c:v>0.42000000000000171</c:v>
                </c:pt>
                <c:pt idx="123">
                  <c:v>0</c:v>
                </c:pt>
                <c:pt idx="124">
                  <c:v>0.42000000000000171</c:v>
                </c:pt>
                <c:pt idx="125">
                  <c:v>0.42000000000000171</c:v>
                </c:pt>
                <c:pt idx="126">
                  <c:v>0.62000000000000099</c:v>
                </c:pt>
                <c:pt idx="127">
                  <c:v>0.21000000000000085</c:v>
                </c:pt>
                <c:pt idx="128">
                  <c:v>0.62000000000000099</c:v>
                </c:pt>
                <c:pt idx="129">
                  <c:v>0.62000000000000099</c:v>
                </c:pt>
                <c:pt idx="130">
                  <c:v>1.4600000000000009</c:v>
                </c:pt>
                <c:pt idx="131">
                  <c:v>1.4600000000000009</c:v>
                </c:pt>
                <c:pt idx="132">
                  <c:v>2.7100000000000044</c:v>
                </c:pt>
                <c:pt idx="133">
                  <c:v>3.7500000000000036</c:v>
                </c:pt>
                <c:pt idx="134">
                  <c:v>5.0000000000000036</c:v>
                </c:pt>
                <c:pt idx="135">
                  <c:v>6.4600000000000044</c:v>
                </c:pt>
                <c:pt idx="136">
                  <c:v>8.5400000000000027</c:v>
                </c:pt>
                <c:pt idx="137">
                  <c:v>10.210000000000004</c:v>
                </c:pt>
                <c:pt idx="138">
                  <c:v>12.710000000000004</c:v>
                </c:pt>
                <c:pt idx="139">
                  <c:v>14.790000000000003</c:v>
                </c:pt>
                <c:pt idx="140">
                  <c:v>16.669999999999998</c:v>
                </c:pt>
                <c:pt idx="141">
                  <c:v>19.169999999999998</c:v>
                </c:pt>
                <c:pt idx="142">
                  <c:v>21.250000000000004</c:v>
                </c:pt>
                <c:pt idx="143">
                  <c:v>22.290000000000003</c:v>
                </c:pt>
                <c:pt idx="144">
                  <c:v>25.000000000000004</c:v>
                </c:pt>
                <c:pt idx="145">
                  <c:v>27.080000000000002</c:v>
                </c:pt>
                <c:pt idx="146">
                  <c:v>28.750000000000004</c:v>
                </c:pt>
                <c:pt idx="147">
                  <c:v>30.62</c:v>
                </c:pt>
                <c:pt idx="148">
                  <c:v>32.290000000000006</c:v>
                </c:pt>
                <c:pt idx="149">
                  <c:v>33.75</c:v>
                </c:pt>
                <c:pt idx="150">
                  <c:v>35.210000000000008</c:v>
                </c:pt>
                <c:pt idx="151">
                  <c:v>37.08</c:v>
                </c:pt>
                <c:pt idx="152">
                  <c:v>38.33</c:v>
                </c:pt>
                <c:pt idx="153">
                  <c:v>39.58</c:v>
                </c:pt>
                <c:pt idx="154">
                  <c:v>40.210000000000008</c:v>
                </c:pt>
                <c:pt idx="155">
                  <c:v>40.620000000000005</c:v>
                </c:pt>
                <c:pt idx="156">
                  <c:v>40.83</c:v>
                </c:pt>
                <c:pt idx="157">
                  <c:v>40.42</c:v>
                </c:pt>
                <c:pt idx="158">
                  <c:v>40.83</c:v>
                </c:pt>
                <c:pt idx="159">
                  <c:v>41.460000000000008</c:v>
                </c:pt>
                <c:pt idx="160">
                  <c:v>41.870000000000005</c:v>
                </c:pt>
                <c:pt idx="161">
                  <c:v>41.460000000000008</c:v>
                </c:pt>
                <c:pt idx="162">
                  <c:v>41.67</c:v>
                </c:pt>
                <c:pt idx="163">
                  <c:v>42.290000000000006</c:v>
                </c:pt>
                <c:pt idx="164">
                  <c:v>42.08</c:v>
                </c:pt>
                <c:pt idx="165">
                  <c:v>41.870000000000005</c:v>
                </c:pt>
                <c:pt idx="166">
                  <c:v>42.08</c:v>
                </c:pt>
                <c:pt idx="167">
                  <c:v>42.92</c:v>
                </c:pt>
                <c:pt idx="168">
                  <c:v>42.5</c:v>
                </c:pt>
                <c:pt idx="169">
                  <c:v>42.5</c:v>
                </c:pt>
                <c:pt idx="170">
                  <c:v>41.870000000000005</c:v>
                </c:pt>
                <c:pt idx="171">
                  <c:v>42.290000000000006</c:v>
                </c:pt>
                <c:pt idx="172">
                  <c:v>42.290000000000006</c:v>
                </c:pt>
                <c:pt idx="173">
                  <c:v>42.710000000000008</c:v>
                </c:pt>
                <c:pt idx="174">
                  <c:v>42.710000000000008</c:v>
                </c:pt>
                <c:pt idx="175">
                  <c:v>42.5</c:v>
                </c:pt>
                <c:pt idx="176">
                  <c:v>42.5</c:v>
                </c:pt>
                <c:pt idx="177">
                  <c:v>42.710000000000008</c:v>
                </c:pt>
                <c:pt idx="178">
                  <c:v>42.710000000000008</c:v>
                </c:pt>
                <c:pt idx="179">
                  <c:v>42.710000000000008</c:v>
                </c:pt>
                <c:pt idx="180">
                  <c:v>42.92</c:v>
                </c:pt>
                <c:pt idx="181">
                  <c:v>43.33</c:v>
                </c:pt>
                <c:pt idx="182">
                  <c:v>42.92</c:v>
                </c:pt>
                <c:pt idx="183">
                  <c:v>42.710000000000008</c:v>
                </c:pt>
                <c:pt idx="184">
                  <c:v>42.92</c:v>
                </c:pt>
                <c:pt idx="185">
                  <c:v>42.710000000000008</c:v>
                </c:pt>
                <c:pt idx="186">
                  <c:v>42.92</c:v>
                </c:pt>
                <c:pt idx="187">
                  <c:v>42.92</c:v>
                </c:pt>
                <c:pt idx="188">
                  <c:v>42.92</c:v>
                </c:pt>
                <c:pt idx="189">
                  <c:v>43.120000000000005</c:v>
                </c:pt>
                <c:pt idx="190">
                  <c:v>42.92</c:v>
                </c:pt>
                <c:pt idx="191">
                  <c:v>43.33</c:v>
                </c:pt>
                <c:pt idx="192">
                  <c:v>42.92</c:v>
                </c:pt>
                <c:pt idx="193">
                  <c:v>43.120000000000005</c:v>
                </c:pt>
                <c:pt idx="194">
                  <c:v>43.120000000000005</c:v>
                </c:pt>
                <c:pt idx="195">
                  <c:v>42.5</c:v>
                </c:pt>
                <c:pt idx="196">
                  <c:v>43.120000000000005</c:v>
                </c:pt>
                <c:pt idx="197">
                  <c:v>42.92</c:v>
                </c:pt>
                <c:pt idx="198">
                  <c:v>42.92</c:v>
                </c:pt>
                <c:pt idx="199">
                  <c:v>43.120000000000005</c:v>
                </c:pt>
                <c:pt idx="200">
                  <c:v>43.120000000000005</c:v>
                </c:pt>
                <c:pt idx="201">
                  <c:v>43.120000000000005</c:v>
                </c:pt>
                <c:pt idx="202">
                  <c:v>42.92</c:v>
                </c:pt>
                <c:pt idx="203">
                  <c:v>43.33</c:v>
                </c:pt>
                <c:pt idx="204">
                  <c:v>42.92</c:v>
                </c:pt>
                <c:pt idx="205">
                  <c:v>43.120000000000005</c:v>
                </c:pt>
                <c:pt idx="206">
                  <c:v>43.33</c:v>
                </c:pt>
                <c:pt idx="207">
                  <c:v>44.17</c:v>
                </c:pt>
                <c:pt idx="208">
                  <c:v>42.92</c:v>
                </c:pt>
                <c:pt idx="209">
                  <c:v>43.33</c:v>
                </c:pt>
                <c:pt idx="210">
                  <c:v>43.120000000000005</c:v>
                </c:pt>
                <c:pt idx="211">
                  <c:v>43.33</c:v>
                </c:pt>
                <c:pt idx="212">
                  <c:v>43.120000000000005</c:v>
                </c:pt>
                <c:pt idx="213">
                  <c:v>43.120000000000005</c:v>
                </c:pt>
                <c:pt idx="214">
                  <c:v>43.120000000000005</c:v>
                </c:pt>
                <c:pt idx="215">
                  <c:v>43.120000000000005</c:v>
                </c:pt>
                <c:pt idx="216">
                  <c:v>43.33</c:v>
                </c:pt>
                <c:pt idx="217">
                  <c:v>43.33</c:v>
                </c:pt>
                <c:pt idx="218">
                  <c:v>43.33</c:v>
                </c:pt>
                <c:pt idx="219">
                  <c:v>42.710000000000008</c:v>
                </c:pt>
                <c:pt idx="220">
                  <c:v>43.120000000000005</c:v>
                </c:pt>
                <c:pt idx="221">
                  <c:v>43.540000000000006</c:v>
                </c:pt>
                <c:pt idx="222">
                  <c:v>43.120000000000005</c:v>
                </c:pt>
                <c:pt idx="223">
                  <c:v>43.120000000000005</c:v>
                </c:pt>
                <c:pt idx="224">
                  <c:v>43.33</c:v>
                </c:pt>
                <c:pt idx="225">
                  <c:v>43.120000000000005</c:v>
                </c:pt>
                <c:pt idx="226">
                  <c:v>43.33</c:v>
                </c:pt>
                <c:pt idx="227">
                  <c:v>43.120000000000005</c:v>
                </c:pt>
                <c:pt idx="228">
                  <c:v>43.33</c:v>
                </c:pt>
                <c:pt idx="229">
                  <c:v>43.120000000000005</c:v>
                </c:pt>
                <c:pt idx="230">
                  <c:v>43.33</c:v>
                </c:pt>
                <c:pt idx="231">
                  <c:v>42.710000000000008</c:v>
                </c:pt>
                <c:pt idx="232">
                  <c:v>43.540000000000006</c:v>
                </c:pt>
                <c:pt idx="233">
                  <c:v>43.75</c:v>
                </c:pt>
                <c:pt idx="234">
                  <c:v>43.33</c:v>
                </c:pt>
                <c:pt idx="235">
                  <c:v>43.33</c:v>
                </c:pt>
                <c:pt idx="236">
                  <c:v>43.120000000000005</c:v>
                </c:pt>
                <c:pt idx="237">
                  <c:v>43.33</c:v>
                </c:pt>
                <c:pt idx="238">
                  <c:v>43.120000000000005</c:v>
                </c:pt>
                <c:pt idx="239">
                  <c:v>43.33</c:v>
                </c:pt>
                <c:pt idx="240">
                  <c:v>43.33</c:v>
                </c:pt>
                <c:pt idx="241">
                  <c:v>43.33</c:v>
                </c:pt>
                <c:pt idx="242">
                  <c:v>43.33</c:v>
                </c:pt>
                <c:pt idx="243">
                  <c:v>43.120000000000005</c:v>
                </c:pt>
                <c:pt idx="244">
                  <c:v>43.540000000000006</c:v>
                </c:pt>
                <c:pt idx="245">
                  <c:v>43.120000000000005</c:v>
                </c:pt>
                <c:pt idx="246">
                  <c:v>43.120000000000005</c:v>
                </c:pt>
                <c:pt idx="247">
                  <c:v>43.75</c:v>
                </c:pt>
                <c:pt idx="248">
                  <c:v>43.33</c:v>
                </c:pt>
                <c:pt idx="249">
                  <c:v>43.33</c:v>
                </c:pt>
                <c:pt idx="250">
                  <c:v>43.120000000000005</c:v>
                </c:pt>
                <c:pt idx="251">
                  <c:v>43.120000000000005</c:v>
                </c:pt>
                <c:pt idx="252">
                  <c:v>43.33</c:v>
                </c:pt>
                <c:pt idx="253">
                  <c:v>43.120000000000005</c:v>
                </c:pt>
                <c:pt idx="254">
                  <c:v>43.33</c:v>
                </c:pt>
                <c:pt idx="255">
                  <c:v>43.120000000000005</c:v>
                </c:pt>
                <c:pt idx="256">
                  <c:v>43.120000000000005</c:v>
                </c:pt>
                <c:pt idx="257">
                  <c:v>43.33</c:v>
                </c:pt>
                <c:pt idx="258">
                  <c:v>43.540000000000006</c:v>
                </c:pt>
                <c:pt idx="259">
                  <c:v>43.120000000000005</c:v>
                </c:pt>
                <c:pt idx="260">
                  <c:v>43.33</c:v>
                </c:pt>
                <c:pt idx="261">
                  <c:v>43.33</c:v>
                </c:pt>
                <c:pt idx="262">
                  <c:v>43.33</c:v>
                </c:pt>
                <c:pt idx="263">
                  <c:v>43.33</c:v>
                </c:pt>
                <c:pt idx="264">
                  <c:v>43.540000000000006</c:v>
                </c:pt>
                <c:pt idx="265">
                  <c:v>43.33</c:v>
                </c:pt>
                <c:pt idx="266">
                  <c:v>43.120000000000005</c:v>
                </c:pt>
                <c:pt idx="267">
                  <c:v>43.120000000000005</c:v>
                </c:pt>
                <c:pt idx="268">
                  <c:v>43.120000000000005</c:v>
                </c:pt>
                <c:pt idx="269">
                  <c:v>43.120000000000005</c:v>
                </c:pt>
                <c:pt idx="270">
                  <c:v>43.33</c:v>
                </c:pt>
                <c:pt idx="271">
                  <c:v>43.120000000000005</c:v>
                </c:pt>
                <c:pt idx="272">
                  <c:v>42.710000000000008</c:v>
                </c:pt>
                <c:pt idx="273">
                  <c:v>43.120000000000005</c:v>
                </c:pt>
                <c:pt idx="274">
                  <c:v>43.120000000000005</c:v>
                </c:pt>
                <c:pt idx="275">
                  <c:v>43.120000000000005</c:v>
                </c:pt>
                <c:pt idx="276">
                  <c:v>43.120000000000005</c:v>
                </c:pt>
                <c:pt idx="277">
                  <c:v>43.120000000000005</c:v>
                </c:pt>
                <c:pt idx="278">
                  <c:v>43.33</c:v>
                </c:pt>
                <c:pt idx="279">
                  <c:v>43.120000000000005</c:v>
                </c:pt>
                <c:pt idx="280">
                  <c:v>43.120000000000005</c:v>
                </c:pt>
                <c:pt idx="281">
                  <c:v>43.120000000000005</c:v>
                </c:pt>
                <c:pt idx="282">
                  <c:v>43.540000000000006</c:v>
                </c:pt>
                <c:pt idx="283">
                  <c:v>43.120000000000005</c:v>
                </c:pt>
                <c:pt idx="284">
                  <c:v>42.5</c:v>
                </c:pt>
                <c:pt idx="285">
                  <c:v>43.33</c:v>
                </c:pt>
                <c:pt idx="286">
                  <c:v>43.540000000000006</c:v>
                </c:pt>
                <c:pt idx="287">
                  <c:v>43.33</c:v>
                </c:pt>
                <c:pt idx="288">
                  <c:v>43.33</c:v>
                </c:pt>
                <c:pt idx="289">
                  <c:v>43.120000000000005</c:v>
                </c:pt>
                <c:pt idx="290">
                  <c:v>43.120000000000005</c:v>
                </c:pt>
                <c:pt idx="291">
                  <c:v>43.120000000000005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61A-4442-A8D4-7BEBFC819744}"/>
            </c:ext>
          </c:extLst>
        </c:ser>
        <c:ser>
          <c:idx val="2"/>
          <c:order val="1"/>
          <c:tx>
            <c:v>Trapezoidal Method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Sheet1!$R$2:$R$293</c:f>
              <c:numCache>
                <c:formatCode>General</c:formatCode>
                <c:ptCount val="292"/>
                <c:pt idx="0">
                  <c:v>0</c:v>
                </c:pt>
                <c:pt idx="1">
                  <c:v>0.09</c:v>
                </c:pt>
                <c:pt idx="2">
                  <c:v>0.18099999999999999</c:v>
                </c:pt>
                <c:pt idx="3">
                  <c:v>0.27200000000000002</c:v>
                </c:pt>
                <c:pt idx="4">
                  <c:v>0.36199999999999999</c:v>
                </c:pt>
                <c:pt idx="5">
                  <c:v>0.45300000000000001</c:v>
                </c:pt>
                <c:pt idx="6">
                  <c:v>0.54400000000000004</c:v>
                </c:pt>
                <c:pt idx="7">
                  <c:v>0.63400000000000001</c:v>
                </c:pt>
                <c:pt idx="8">
                  <c:v>0.72599999999999998</c:v>
                </c:pt>
                <c:pt idx="9">
                  <c:v>0.81699999999999995</c:v>
                </c:pt>
                <c:pt idx="10">
                  <c:v>0.90700000000000003</c:v>
                </c:pt>
                <c:pt idx="11">
                  <c:v>0.998</c:v>
                </c:pt>
                <c:pt idx="12">
                  <c:v>1.089</c:v>
                </c:pt>
                <c:pt idx="13">
                  <c:v>1.179</c:v>
                </c:pt>
                <c:pt idx="14">
                  <c:v>1.27</c:v>
                </c:pt>
                <c:pt idx="15">
                  <c:v>1.361</c:v>
                </c:pt>
                <c:pt idx="16">
                  <c:v>1.452</c:v>
                </c:pt>
                <c:pt idx="17">
                  <c:v>1.5429999999999999</c:v>
                </c:pt>
                <c:pt idx="18">
                  <c:v>1.6339999999999999</c:v>
                </c:pt>
                <c:pt idx="19">
                  <c:v>1.724</c:v>
                </c:pt>
                <c:pt idx="20">
                  <c:v>1.8149999999999999</c:v>
                </c:pt>
                <c:pt idx="21">
                  <c:v>1.9059999999999999</c:v>
                </c:pt>
                <c:pt idx="22">
                  <c:v>1.996</c:v>
                </c:pt>
                <c:pt idx="23">
                  <c:v>2.0870000000000002</c:v>
                </c:pt>
                <c:pt idx="24">
                  <c:v>2.1789999999999998</c:v>
                </c:pt>
                <c:pt idx="25">
                  <c:v>2.2690000000000001</c:v>
                </c:pt>
                <c:pt idx="26">
                  <c:v>2.36</c:v>
                </c:pt>
                <c:pt idx="27">
                  <c:v>2.4510000000000001</c:v>
                </c:pt>
                <c:pt idx="28">
                  <c:v>2.5409999999999999</c:v>
                </c:pt>
                <c:pt idx="29">
                  <c:v>2.6320000000000001</c:v>
                </c:pt>
                <c:pt idx="30">
                  <c:v>2.7229999999999999</c:v>
                </c:pt>
                <c:pt idx="31">
                  <c:v>2.8130000000000002</c:v>
                </c:pt>
                <c:pt idx="32">
                  <c:v>2.9049999999999998</c:v>
                </c:pt>
                <c:pt idx="33">
                  <c:v>2.996</c:v>
                </c:pt>
                <c:pt idx="34">
                  <c:v>3.0859999999999999</c:v>
                </c:pt>
                <c:pt idx="35">
                  <c:v>3.177</c:v>
                </c:pt>
                <c:pt idx="36">
                  <c:v>3.2679999999999998</c:v>
                </c:pt>
                <c:pt idx="37">
                  <c:v>3.3580000000000001</c:v>
                </c:pt>
                <c:pt idx="38">
                  <c:v>3.4489999999999998</c:v>
                </c:pt>
                <c:pt idx="39">
                  <c:v>3.5409999999999999</c:v>
                </c:pt>
                <c:pt idx="40">
                  <c:v>3.6309999999999998</c:v>
                </c:pt>
                <c:pt idx="41">
                  <c:v>3.722</c:v>
                </c:pt>
                <c:pt idx="42">
                  <c:v>3.8130000000000002</c:v>
                </c:pt>
                <c:pt idx="43">
                  <c:v>3.903</c:v>
                </c:pt>
                <c:pt idx="44">
                  <c:v>3.9940000000000002</c:v>
                </c:pt>
                <c:pt idx="45">
                  <c:v>4.085</c:v>
                </c:pt>
                <c:pt idx="46">
                  <c:v>4.1749999999999998</c:v>
                </c:pt>
                <c:pt idx="47">
                  <c:v>4.2670000000000003</c:v>
                </c:pt>
                <c:pt idx="48">
                  <c:v>4.3579999999999997</c:v>
                </c:pt>
                <c:pt idx="49">
                  <c:v>4.4480000000000004</c:v>
                </c:pt>
                <c:pt idx="50">
                  <c:v>4.5389999999999997</c:v>
                </c:pt>
                <c:pt idx="51">
                  <c:v>4.63</c:v>
                </c:pt>
                <c:pt idx="52">
                  <c:v>4.72</c:v>
                </c:pt>
                <c:pt idx="53">
                  <c:v>4.8109999999999999</c:v>
                </c:pt>
                <c:pt idx="54">
                  <c:v>4.9020000000000001</c:v>
                </c:pt>
                <c:pt idx="55">
                  <c:v>4.9930000000000003</c:v>
                </c:pt>
                <c:pt idx="56">
                  <c:v>5.0839999999999996</c:v>
                </c:pt>
                <c:pt idx="57">
                  <c:v>5.1749999999999998</c:v>
                </c:pt>
                <c:pt idx="58">
                  <c:v>5.2649999999999997</c:v>
                </c:pt>
                <c:pt idx="59">
                  <c:v>5.3559999999999999</c:v>
                </c:pt>
                <c:pt idx="60">
                  <c:v>5.4470000000000001</c:v>
                </c:pt>
                <c:pt idx="61">
                  <c:v>5.5369999999999999</c:v>
                </c:pt>
                <c:pt idx="62">
                  <c:v>5.6280000000000001</c:v>
                </c:pt>
                <c:pt idx="63">
                  <c:v>5.72</c:v>
                </c:pt>
                <c:pt idx="64">
                  <c:v>5.81</c:v>
                </c:pt>
                <c:pt idx="65">
                  <c:v>5.9009999999999998</c:v>
                </c:pt>
                <c:pt idx="66">
                  <c:v>5.992</c:v>
                </c:pt>
                <c:pt idx="67">
                  <c:v>6.0819999999999999</c:v>
                </c:pt>
                <c:pt idx="68">
                  <c:v>6.173</c:v>
                </c:pt>
                <c:pt idx="69">
                  <c:v>6.2640000000000002</c:v>
                </c:pt>
                <c:pt idx="70">
                  <c:v>6.3540000000000001</c:v>
                </c:pt>
                <c:pt idx="71">
                  <c:v>6.4459999999999997</c:v>
                </c:pt>
                <c:pt idx="72">
                  <c:v>6.5369999999999999</c:v>
                </c:pt>
                <c:pt idx="73">
                  <c:v>6.6269999999999998</c:v>
                </c:pt>
                <c:pt idx="74">
                  <c:v>6.718</c:v>
                </c:pt>
                <c:pt idx="75">
                  <c:v>6.8090000000000002</c:v>
                </c:pt>
                <c:pt idx="76">
                  <c:v>6.899</c:v>
                </c:pt>
                <c:pt idx="77">
                  <c:v>6.99</c:v>
                </c:pt>
                <c:pt idx="78">
                  <c:v>7.0810000000000004</c:v>
                </c:pt>
                <c:pt idx="79">
                  <c:v>7.1719999999999997</c:v>
                </c:pt>
                <c:pt idx="80">
                  <c:v>7.2629999999999999</c:v>
                </c:pt>
                <c:pt idx="81">
                  <c:v>7.3540000000000001</c:v>
                </c:pt>
                <c:pt idx="82">
                  <c:v>7.444</c:v>
                </c:pt>
                <c:pt idx="83">
                  <c:v>7.5350000000000001</c:v>
                </c:pt>
                <c:pt idx="84">
                  <c:v>7.6260000000000003</c:v>
                </c:pt>
                <c:pt idx="85">
                  <c:v>7.7160000000000002</c:v>
                </c:pt>
                <c:pt idx="86">
                  <c:v>7.8079999999999998</c:v>
                </c:pt>
                <c:pt idx="87">
                  <c:v>7.899</c:v>
                </c:pt>
                <c:pt idx="88">
                  <c:v>7.9889999999999999</c:v>
                </c:pt>
                <c:pt idx="89">
                  <c:v>8.08</c:v>
                </c:pt>
                <c:pt idx="90">
                  <c:v>8.1709999999999994</c:v>
                </c:pt>
                <c:pt idx="91">
                  <c:v>8.2609999999999992</c:v>
                </c:pt>
                <c:pt idx="92">
                  <c:v>8.3520000000000003</c:v>
                </c:pt>
                <c:pt idx="93">
                  <c:v>8.4429999999999996</c:v>
                </c:pt>
                <c:pt idx="94">
                  <c:v>8.5340000000000007</c:v>
                </c:pt>
                <c:pt idx="95">
                  <c:v>8.625</c:v>
                </c:pt>
                <c:pt idx="96">
                  <c:v>8.7159999999999993</c:v>
                </c:pt>
                <c:pt idx="97">
                  <c:v>8.8059999999999992</c:v>
                </c:pt>
                <c:pt idx="98">
                  <c:v>8.8970000000000002</c:v>
                </c:pt>
                <c:pt idx="99">
                  <c:v>8.9879999999999995</c:v>
                </c:pt>
                <c:pt idx="100">
                  <c:v>9.0779999999999994</c:v>
                </c:pt>
                <c:pt idx="101">
                  <c:v>9.1690000000000005</c:v>
                </c:pt>
                <c:pt idx="102">
                  <c:v>9.2609999999999992</c:v>
                </c:pt>
                <c:pt idx="103">
                  <c:v>9.3510000000000009</c:v>
                </c:pt>
                <c:pt idx="104">
                  <c:v>9.4420000000000002</c:v>
                </c:pt>
                <c:pt idx="105">
                  <c:v>9.5329999999999995</c:v>
                </c:pt>
                <c:pt idx="106">
                  <c:v>9.6229999999999993</c:v>
                </c:pt>
                <c:pt idx="107">
                  <c:v>9.7140000000000004</c:v>
                </c:pt>
                <c:pt idx="108">
                  <c:v>9.8049999999999997</c:v>
                </c:pt>
                <c:pt idx="109">
                  <c:v>9.8949999999999996</c:v>
                </c:pt>
                <c:pt idx="110">
                  <c:v>9.9870000000000001</c:v>
                </c:pt>
                <c:pt idx="111">
                  <c:v>10.077999999999999</c:v>
                </c:pt>
                <c:pt idx="112">
                  <c:v>10.167999999999999</c:v>
                </c:pt>
                <c:pt idx="113">
                  <c:v>10.259</c:v>
                </c:pt>
                <c:pt idx="114">
                  <c:v>10.35</c:v>
                </c:pt>
                <c:pt idx="115">
                  <c:v>10.44</c:v>
                </c:pt>
                <c:pt idx="116">
                  <c:v>10.531000000000001</c:v>
                </c:pt>
                <c:pt idx="117">
                  <c:v>10.622</c:v>
                </c:pt>
                <c:pt idx="118">
                  <c:v>10.712999999999999</c:v>
                </c:pt>
                <c:pt idx="119">
                  <c:v>10.804</c:v>
                </c:pt>
                <c:pt idx="120">
                  <c:v>10.895</c:v>
                </c:pt>
                <c:pt idx="121">
                  <c:v>10.984999999999999</c:v>
                </c:pt>
                <c:pt idx="122">
                  <c:v>11.076000000000001</c:v>
                </c:pt>
                <c:pt idx="123">
                  <c:v>11.167</c:v>
                </c:pt>
                <c:pt idx="124">
                  <c:v>11.257</c:v>
                </c:pt>
                <c:pt idx="125">
                  <c:v>11.349</c:v>
                </c:pt>
                <c:pt idx="126">
                  <c:v>11.44</c:v>
                </c:pt>
                <c:pt idx="127">
                  <c:v>11.53</c:v>
                </c:pt>
                <c:pt idx="128">
                  <c:v>11.621</c:v>
                </c:pt>
                <c:pt idx="129">
                  <c:v>11.712</c:v>
                </c:pt>
                <c:pt idx="130">
                  <c:v>11.802</c:v>
                </c:pt>
                <c:pt idx="131">
                  <c:v>11.893000000000001</c:v>
                </c:pt>
                <c:pt idx="132">
                  <c:v>11.984</c:v>
                </c:pt>
                <c:pt idx="133">
                  <c:v>12.074999999999999</c:v>
                </c:pt>
                <c:pt idx="134">
                  <c:v>12.166</c:v>
                </c:pt>
                <c:pt idx="135">
                  <c:v>12.257</c:v>
                </c:pt>
                <c:pt idx="136">
                  <c:v>12.347</c:v>
                </c:pt>
                <c:pt idx="137">
                  <c:v>12.438000000000001</c:v>
                </c:pt>
                <c:pt idx="138">
                  <c:v>12.529</c:v>
                </c:pt>
                <c:pt idx="139">
                  <c:v>12.619</c:v>
                </c:pt>
                <c:pt idx="140">
                  <c:v>12.71</c:v>
                </c:pt>
                <c:pt idx="141">
                  <c:v>12.802</c:v>
                </c:pt>
                <c:pt idx="142">
                  <c:v>12.891999999999999</c:v>
                </c:pt>
                <c:pt idx="143">
                  <c:v>12.983000000000001</c:v>
                </c:pt>
                <c:pt idx="144">
                  <c:v>13.074</c:v>
                </c:pt>
                <c:pt idx="145">
                  <c:v>13.164</c:v>
                </c:pt>
                <c:pt idx="146">
                  <c:v>13.255000000000001</c:v>
                </c:pt>
                <c:pt idx="147">
                  <c:v>13.346</c:v>
                </c:pt>
                <c:pt idx="148">
                  <c:v>13.436</c:v>
                </c:pt>
                <c:pt idx="149">
                  <c:v>13.528</c:v>
                </c:pt>
                <c:pt idx="150">
                  <c:v>13.619</c:v>
                </c:pt>
                <c:pt idx="151">
                  <c:v>13.709</c:v>
                </c:pt>
                <c:pt idx="152">
                  <c:v>13.8</c:v>
                </c:pt>
                <c:pt idx="153">
                  <c:v>13.891</c:v>
                </c:pt>
                <c:pt idx="154">
                  <c:v>13.981</c:v>
                </c:pt>
                <c:pt idx="155">
                  <c:v>14.071999999999999</c:v>
                </c:pt>
                <c:pt idx="156">
                  <c:v>14.163</c:v>
                </c:pt>
                <c:pt idx="157">
                  <c:v>14.254</c:v>
                </c:pt>
                <c:pt idx="158">
                  <c:v>14.345000000000001</c:v>
                </c:pt>
                <c:pt idx="159">
                  <c:v>14.436</c:v>
                </c:pt>
                <c:pt idx="160">
                  <c:v>14.526</c:v>
                </c:pt>
                <c:pt idx="161">
                  <c:v>14.617000000000001</c:v>
                </c:pt>
                <c:pt idx="162">
                  <c:v>14.708</c:v>
                </c:pt>
                <c:pt idx="163">
                  <c:v>14.798</c:v>
                </c:pt>
                <c:pt idx="164">
                  <c:v>14.888999999999999</c:v>
                </c:pt>
                <c:pt idx="165">
                  <c:v>14.981</c:v>
                </c:pt>
                <c:pt idx="166">
                  <c:v>15.071</c:v>
                </c:pt>
                <c:pt idx="167">
                  <c:v>15.162000000000001</c:v>
                </c:pt>
                <c:pt idx="168">
                  <c:v>15.253</c:v>
                </c:pt>
                <c:pt idx="169">
                  <c:v>15.343</c:v>
                </c:pt>
                <c:pt idx="170">
                  <c:v>15.433999999999999</c:v>
                </c:pt>
                <c:pt idx="171">
                  <c:v>15.525</c:v>
                </c:pt>
                <c:pt idx="172">
                  <c:v>15.616</c:v>
                </c:pt>
                <c:pt idx="173">
                  <c:v>15.707000000000001</c:v>
                </c:pt>
                <c:pt idx="174">
                  <c:v>15.798</c:v>
                </c:pt>
                <c:pt idx="175">
                  <c:v>15.888</c:v>
                </c:pt>
                <c:pt idx="176">
                  <c:v>15.978999999999999</c:v>
                </c:pt>
                <c:pt idx="177">
                  <c:v>16.07</c:v>
                </c:pt>
                <c:pt idx="178">
                  <c:v>16.16</c:v>
                </c:pt>
                <c:pt idx="179">
                  <c:v>16.251000000000001</c:v>
                </c:pt>
                <c:pt idx="180">
                  <c:v>16.343</c:v>
                </c:pt>
                <c:pt idx="181">
                  <c:v>16.433</c:v>
                </c:pt>
                <c:pt idx="182">
                  <c:v>16.524000000000001</c:v>
                </c:pt>
                <c:pt idx="183">
                  <c:v>16.614999999999998</c:v>
                </c:pt>
                <c:pt idx="184">
                  <c:v>16.704999999999998</c:v>
                </c:pt>
                <c:pt idx="185">
                  <c:v>16.795999999999999</c:v>
                </c:pt>
                <c:pt idx="186">
                  <c:v>16.887</c:v>
                </c:pt>
                <c:pt idx="187">
                  <c:v>16.977</c:v>
                </c:pt>
                <c:pt idx="188">
                  <c:v>17.068999999999999</c:v>
                </c:pt>
                <c:pt idx="189">
                  <c:v>17.16</c:v>
                </c:pt>
                <c:pt idx="190">
                  <c:v>17.25</c:v>
                </c:pt>
                <c:pt idx="191">
                  <c:v>17.341000000000001</c:v>
                </c:pt>
                <c:pt idx="192">
                  <c:v>17.431999999999999</c:v>
                </c:pt>
                <c:pt idx="193">
                  <c:v>17.521999999999998</c:v>
                </c:pt>
                <c:pt idx="194">
                  <c:v>17.613</c:v>
                </c:pt>
                <c:pt idx="195">
                  <c:v>17.704000000000001</c:v>
                </c:pt>
                <c:pt idx="196">
                  <c:v>17.795000000000002</c:v>
                </c:pt>
                <c:pt idx="197">
                  <c:v>17.885999999999999</c:v>
                </c:pt>
                <c:pt idx="198">
                  <c:v>17.977</c:v>
                </c:pt>
                <c:pt idx="199">
                  <c:v>18.067</c:v>
                </c:pt>
                <c:pt idx="200">
                  <c:v>18.158000000000001</c:v>
                </c:pt>
                <c:pt idx="201">
                  <c:v>18.248999999999999</c:v>
                </c:pt>
                <c:pt idx="202">
                  <c:v>18.338999999999999</c:v>
                </c:pt>
                <c:pt idx="203">
                  <c:v>18.43</c:v>
                </c:pt>
                <c:pt idx="204">
                  <c:v>18.521999999999998</c:v>
                </c:pt>
                <c:pt idx="205">
                  <c:v>18.611999999999998</c:v>
                </c:pt>
                <c:pt idx="206">
                  <c:v>18.702999999999999</c:v>
                </c:pt>
                <c:pt idx="207">
                  <c:v>18.794</c:v>
                </c:pt>
                <c:pt idx="208">
                  <c:v>18.884</c:v>
                </c:pt>
                <c:pt idx="209">
                  <c:v>18.975000000000001</c:v>
                </c:pt>
                <c:pt idx="210">
                  <c:v>19.065999999999999</c:v>
                </c:pt>
                <c:pt idx="211">
                  <c:v>19.157</c:v>
                </c:pt>
                <c:pt idx="212">
                  <c:v>19.248000000000001</c:v>
                </c:pt>
                <c:pt idx="213">
                  <c:v>19.338999999999999</c:v>
                </c:pt>
                <c:pt idx="214">
                  <c:v>19.428999999999998</c:v>
                </c:pt>
                <c:pt idx="215">
                  <c:v>19.52</c:v>
                </c:pt>
                <c:pt idx="216">
                  <c:v>19.611000000000001</c:v>
                </c:pt>
                <c:pt idx="217">
                  <c:v>19.701000000000001</c:v>
                </c:pt>
                <c:pt idx="218">
                  <c:v>19.792000000000002</c:v>
                </c:pt>
                <c:pt idx="219">
                  <c:v>19.884</c:v>
                </c:pt>
                <c:pt idx="220">
                  <c:v>19.974</c:v>
                </c:pt>
                <c:pt idx="221">
                  <c:v>20.065000000000001</c:v>
                </c:pt>
                <c:pt idx="222">
                  <c:v>20.155999999999999</c:v>
                </c:pt>
                <c:pt idx="223">
                  <c:v>20.247</c:v>
                </c:pt>
                <c:pt idx="224">
                  <c:v>20.337</c:v>
                </c:pt>
                <c:pt idx="225">
                  <c:v>20.428000000000001</c:v>
                </c:pt>
                <c:pt idx="226">
                  <c:v>20.518999999999998</c:v>
                </c:pt>
                <c:pt idx="227">
                  <c:v>20.61</c:v>
                </c:pt>
                <c:pt idx="228">
                  <c:v>20.701000000000001</c:v>
                </c:pt>
                <c:pt idx="229">
                  <c:v>20.792000000000002</c:v>
                </c:pt>
                <c:pt idx="230">
                  <c:v>20.882000000000001</c:v>
                </c:pt>
                <c:pt idx="231">
                  <c:v>20.972999999999999</c:v>
                </c:pt>
                <c:pt idx="232">
                  <c:v>21.064</c:v>
                </c:pt>
                <c:pt idx="233">
                  <c:v>21.154</c:v>
                </c:pt>
                <c:pt idx="234">
                  <c:v>21.245000000000001</c:v>
                </c:pt>
                <c:pt idx="235">
                  <c:v>21.337</c:v>
                </c:pt>
                <c:pt idx="236">
                  <c:v>21.427</c:v>
                </c:pt>
                <c:pt idx="237">
                  <c:v>21.518000000000001</c:v>
                </c:pt>
                <c:pt idx="238">
                  <c:v>21.609000000000002</c:v>
                </c:pt>
                <c:pt idx="239">
                  <c:v>21.699000000000002</c:v>
                </c:pt>
                <c:pt idx="240">
                  <c:v>21.79</c:v>
                </c:pt>
                <c:pt idx="241">
                  <c:v>21.881</c:v>
                </c:pt>
                <c:pt idx="242">
                  <c:v>21.971</c:v>
                </c:pt>
                <c:pt idx="243">
                  <c:v>22.062999999999999</c:v>
                </c:pt>
                <c:pt idx="244">
                  <c:v>22.154</c:v>
                </c:pt>
                <c:pt idx="245">
                  <c:v>22.244</c:v>
                </c:pt>
                <c:pt idx="246">
                  <c:v>22.335000000000001</c:v>
                </c:pt>
                <c:pt idx="247">
                  <c:v>22.425999999999998</c:v>
                </c:pt>
                <c:pt idx="248">
                  <c:v>22.515999999999998</c:v>
                </c:pt>
                <c:pt idx="249">
                  <c:v>22.606999999999999</c:v>
                </c:pt>
                <c:pt idx="250">
                  <c:v>22.699000000000002</c:v>
                </c:pt>
                <c:pt idx="251">
                  <c:v>22.789000000000001</c:v>
                </c:pt>
                <c:pt idx="252">
                  <c:v>22.88</c:v>
                </c:pt>
                <c:pt idx="253">
                  <c:v>22.971</c:v>
                </c:pt>
                <c:pt idx="254">
                  <c:v>23.061</c:v>
                </c:pt>
                <c:pt idx="255">
                  <c:v>23.152000000000001</c:v>
                </c:pt>
                <c:pt idx="256">
                  <c:v>23.242999999999999</c:v>
                </c:pt>
                <c:pt idx="257">
                  <c:v>23.332999999999998</c:v>
                </c:pt>
                <c:pt idx="258">
                  <c:v>23.425000000000001</c:v>
                </c:pt>
                <c:pt idx="259">
                  <c:v>23.515999999999998</c:v>
                </c:pt>
                <c:pt idx="260">
                  <c:v>23.606000000000002</c:v>
                </c:pt>
                <c:pt idx="261">
                  <c:v>23.696999999999999</c:v>
                </c:pt>
                <c:pt idx="262">
                  <c:v>23.788</c:v>
                </c:pt>
                <c:pt idx="263">
                  <c:v>23.878</c:v>
                </c:pt>
                <c:pt idx="264">
                  <c:v>23.969000000000001</c:v>
                </c:pt>
                <c:pt idx="265">
                  <c:v>24.06</c:v>
                </c:pt>
                <c:pt idx="266">
                  <c:v>24.151</c:v>
                </c:pt>
                <c:pt idx="267">
                  <c:v>24.242000000000001</c:v>
                </c:pt>
                <c:pt idx="268">
                  <c:v>24.332999999999998</c:v>
                </c:pt>
                <c:pt idx="269">
                  <c:v>24.422999999999998</c:v>
                </c:pt>
                <c:pt idx="270">
                  <c:v>24.513999999999999</c:v>
                </c:pt>
                <c:pt idx="271">
                  <c:v>24.605</c:v>
                </c:pt>
                <c:pt idx="272">
                  <c:v>24.696000000000002</c:v>
                </c:pt>
                <c:pt idx="273">
                  <c:v>24.786000000000001</c:v>
                </c:pt>
                <c:pt idx="274">
                  <c:v>24.878</c:v>
                </c:pt>
                <c:pt idx="275">
                  <c:v>24.969000000000001</c:v>
                </c:pt>
                <c:pt idx="276">
                  <c:v>25.059000000000001</c:v>
                </c:pt>
                <c:pt idx="277">
                  <c:v>25.15</c:v>
                </c:pt>
                <c:pt idx="278">
                  <c:v>25.241</c:v>
                </c:pt>
                <c:pt idx="279">
                  <c:v>25.331</c:v>
                </c:pt>
                <c:pt idx="280">
                  <c:v>25.422000000000001</c:v>
                </c:pt>
                <c:pt idx="281">
                  <c:v>25.513000000000002</c:v>
                </c:pt>
                <c:pt idx="282">
                  <c:v>25.603999999999999</c:v>
                </c:pt>
                <c:pt idx="283">
                  <c:v>25.695</c:v>
                </c:pt>
                <c:pt idx="284">
                  <c:v>25.786000000000001</c:v>
                </c:pt>
                <c:pt idx="285">
                  <c:v>25.876000000000001</c:v>
                </c:pt>
                <c:pt idx="286">
                  <c:v>25.966999999999999</c:v>
                </c:pt>
                <c:pt idx="287">
                  <c:v>26.058</c:v>
                </c:pt>
                <c:pt idx="288">
                  <c:v>26.148</c:v>
                </c:pt>
                <c:pt idx="289">
                  <c:v>26.24</c:v>
                </c:pt>
                <c:pt idx="290">
                  <c:v>26.331</c:v>
                </c:pt>
                <c:pt idx="291">
                  <c:v>26.420999999999999</c:v>
                </c:pt>
              </c:numCache>
            </c:numRef>
          </c:xVal>
          <c:yVal>
            <c:numRef>
              <c:f>Sheet1!$S$2:$S$293</c:f>
              <c:numCache>
                <c:formatCode>General</c:formatCode>
                <c:ptCount val="29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2.4980257574999998</c:v>
                </c:pt>
                <c:pt idx="138">
                  <c:v>9.9717938774999979</c:v>
                </c:pt>
                <c:pt idx="139">
                  <c:v>22.217616877499996</c:v>
                </c:pt>
                <c:pt idx="140">
                  <c:v>29.623762214999992</c:v>
                </c:pt>
                <c:pt idx="141">
                  <c:v>29.623762214999992</c:v>
                </c:pt>
                <c:pt idx="142">
                  <c:v>29.623762214999992</c:v>
                </c:pt>
                <c:pt idx="143">
                  <c:v>29.623762214999992</c:v>
                </c:pt>
                <c:pt idx="144">
                  <c:v>29.623762214999992</c:v>
                </c:pt>
                <c:pt idx="145">
                  <c:v>29.623762214999992</c:v>
                </c:pt>
                <c:pt idx="146">
                  <c:v>29.623762214999992</c:v>
                </c:pt>
                <c:pt idx="147">
                  <c:v>29.623762214999992</c:v>
                </c:pt>
                <c:pt idx="148">
                  <c:v>29.623762214999992</c:v>
                </c:pt>
                <c:pt idx="149">
                  <c:v>29.623762214999992</c:v>
                </c:pt>
                <c:pt idx="150">
                  <c:v>32.04055136249999</c:v>
                </c:pt>
                <c:pt idx="151">
                  <c:v>39.244573912499995</c:v>
                </c:pt>
                <c:pt idx="152">
                  <c:v>44.111852009999993</c:v>
                </c:pt>
                <c:pt idx="153">
                  <c:v>44.111852009999993</c:v>
                </c:pt>
                <c:pt idx="154">
                  <c:v>44.111852009999993</c:v>
                </c:pt>
                <c:pt idx="155">
                  <c:v>44.111852009999993</c:v>
                </c:pt>
                <c:pt idx="156">
                  <c:v>44.111852009999993</c:v>
                </c:pt>
                <c:pt idx="157">
                  <c:v>44.111852009999993</c:v>
                </c:pt>
                <c:pt idx="158">
                  <c:v>44.111852009999993</c:v>
                </c:pt>
                <c:pt idx="159">
                  <c:v>44.111852009999993</c:v>
                </c:pt>
                <c:pt idx="160">
                  <c:v>44.111852009999993</c:v>
                </c:pt>
                <c:pt idx="161">
                  <c:v>44.111852009999993</c:v>
                </c:pt>
                <c:pt idx="162">
                  <c:v>44.111852009999993</c:v>
                </c:pt>
                <c:pt idx="163">
                  <c:v>44.111852009999993</c:v>
                </c:pt>
                <c:pt idx="164">
                  <c:v>44.111852009999993</c:v>
                </c:pt>
                <c:pt idx="165">
                  <c:v>44.111852009999993</c:v>
                </c:pt>
                <c:pt idx="166">
                  <c:v>44.111852009999993</c:v>
                </c:pt>
                <c:pt idx="167">
                  <c:v>44.111852009999993</c:v>
                </c:pt>
                <c:pt idx="168">
                  <c:v>44.111852009999993</c:v>
                </c:pt>
                <c:pt idx="169">
                  <c:v>44.111852009999993</c:v>
                </c:pt>
                <c:pt idx="170">
                  <c:v>44.111852009999993</c:v>
                </c:pt>
                <c:pt idx="171">
                  <c:v>44.111852009999993</c:v>
                </c:pt>
                <c:pt idx="172">
                  <c:v>44.111852009999993</c:v>
                </c:pt>
                <c:pt idx="173">
                  <c:v>44.111852009999993</c:v>
                </c:pt>
                <c:pt idx="174">
                  <c:v>44.111852009999993</c:v>
                </c:pt>
                <c:pt idx="175">
                  <c:v>44.111852009999993</c:v>
                </c:pt>
                <c:pt idx="176">
                  <c:v>44.111852009999993</c:v>
                </c:pt>
                <c:pt idx="177">
                  <c:v>44.111852009999993</c:v>
                </c:pt>
                <c:pt idx="178">
                  <c:v>44.111852009999993</c:v>
                </c:pt>
                <c:pt idx="179">
                  <c:v>44.111852009999993</c:v>
                </c:pt>
                <c:pt idx="180">
                  <c:v>44.111852009999993</c:v>
                </c:pt>
                <c:pt idx="181">
                  <c:v>44.111852009999993</c:v>
                </c:pt>
                <c:pt idx="182">
                  <c:v>44.111852009999993</c:v>
                </c:pt>
                <c:pt idx="183">
                  <c:v>44.111852009999993</c:v>
                </c:pt>
                <c:pt idx="184">
                  <c:v>44.111852009999993</c:v>
                </c:pt>
                <c:pt idx="185">
                  <c:v>44.111852009999993</c:v>
                </c:pt>
                <c:pt idx="186">
                  <c:v>44.111852009999993</c:v>
                </c:pt>
                <c:pt idx="187">
                  <c:v>44.111852009999993</c:v>
                </c:pt>
                <c:pt idx="188">
                  <c:v>44.111852009999993</c:v>
                </c:pt>
                <c:pt idx="189">
                  <c:v>44.111852009999993</c:v>
                </c:pt>
                <c:pt idx="190">
                  <c:v>44.111852009999993</c:v>
                </c:pt>
                <c:pt idx="191">
                  <c:v>44.111852009999993</c:v>
                </c:pt>
                <c:pt idx="192">
                  <c:v>44.111852009999993</c:v>
                </c:pt>
                <c:pt idx="193">
                  <c:v>44.111852009999993</c:v>
                </c:pt>
                <c:pt idx="194">
                  <c:v>44.111852009999993</c:v>
                </c:pt>
                <c:pt idx="195">
                  <c:v>44.111852009999993</c:v>
                </c:pt>
                <c:pt idx="196">
                  <c:v>44.111852009999993</c:v>
                </c:pt>
                <c:pt idx="197">
                  <c:v>44.111852009999993</c:v>
                </c:pt>
                <c:pt idx="198">
                  <c:v>44.111852009999993</c:v>
                </c:pt>
                <c:pt idx="199">
                  <c:v>44.111852009999993</c:v>
                </c:pt>
                <c:pt idx="200">
                  <c:v>44.111852009999993</c:v>
                </c:pt>
                <c:pt idx="201">
                  <c:v>44.111852009999993</c:v>
                </c:pt>
                <c:pt idx="202">
                  <c:v>44.111852009999993</c:v>
                </c:pt>
                <c:pt idx="203">
                  <c:v>44.111852009999993</c:v>
                </c:pt>
                <c:pt idx="204">
                  <c:v>44.111852009999993</c:v>
                </c:pt>
                <c:pt idx="205">
                  <c:v>44.111852009999993</c:v>
                </c:pt>
                <c:pt idx="206">
                  <c:v>44.111852009999993</c:v>
                </c:pt>
                <c:pt idx="207">
                  <c:v>44.111852009999993</c:v>
                </c:pt>
                <c:pt idx="208">
                  <c:v>44.111852009999993</c:v>
                </c:pt>
                <c:pt idx="209">
                  <c:v>44.111852009999993</c:v>
                </c:pt>
                <c:pt idx="210">
                  <c:v>44.111852009999993</c:v>
                </c:pt>
                <c:pt idx="211">
                  <c:v>44.111852009999993</c:v>
                </c:pt>
                <c:pt idx="212">
                  <c:v>44.111852009999993</c:v>
                </c:pt>
                <c:pt idx="213">
                  <c:v>44.111852009999993</c:v>
                </c:pt>
                <c:pt idx="214">
                  <c:v>44.111852009999993</c:v>
                </c:pt>
                <c:pt idx="215">
                  <c:v>44.111852009999993</c:v>
                </c:pt>
                <c:pt idx="216">
                  <c:v>44.111852009999993</c:v>
                </c:pt>
                <c:pt idx="217">
                  <c:v>44.111852009999993</c:v>
                </c:pt>
                <c:pt idx="218">
                  <c:v>44.111852009999993</c:v>
                </c:pt>
                <c:pt idx="219">
                  <c:v>44.111852009999993</c:v>
                </c:pt>
                <c:pt idx="220">
                  <c:v>44.111852009999993</c:v>
                </c:pt>
                <c:pt idx="221">
                  <c:v>44.111852009999993</c:v>
                </c:pt>
                <c:pt idx="222">
                  <c:v>44.111852009999993</c:v>
                </c:pt>
                <c:pt idx="223">
                  <c:v>44.111852009999993</c:v>
                </c:pt>
                <c:pt idx="224">
                  <c:v>44.111852009999993</c:v>
                </c:pt>
                <c:pt idx="225">
                  <c:v>44.111852009999993</c:v>
                </c:pt>
                <c:pt idx="226">
                  <c:v>44.111852009999993</c:v>
                </c:pt>
                <c:pt idx="227">
                  <c:v>44.111852009999993</c:v>
                </c:pt>
                <c:pt idx="228">
                  <c:v>44.111852009999993</c:v>
                </c:pt>
                <c:pt idx="229">
                  <c:v>44.111852009999993</c:v>
                </c:pt>
                <c:pt idx="230">
                  <c:v>44.111852009999993</c:v>
                </c:pt>
                <c:pt idx="231">
                  <c:v>44.111852009999993</c:v>
                </c:pt>
                <c:pt idx="232">
                  <c:v>44.111852009999993</c:v>
                </c:pt>
                <c:pt idx="233">
                  <c:v>44.111852009999993</c:v>
                </c:pt>
                <c:pt idx="234">
                  <c:v>44.111852009999993</c:v>
                </c:pt>
                <c:pt idx="235">
                  <c:v>44.111852009999993</c:v>
                </c:pt>
                <c:pt idx="236">
                  <c:v>44.111852009999993</c:v>
                </c:pt>
                <c:pt idx="237">
                  <c:v>44.111852009999993</c:v>
                </c:pt>
                <c:pt idx="238">
                  <c:v>44.111852009999993</c:v>
                </c:pt>
                <c:pt idx="239">
                  <c:v>44.111852009999993</c:v>
                </c:pt>
                <c:pt idx="240">
                  <c:v>44.111852009999993</c:v>
                </c:pt>
                <c:pt idx="241">
                  <c:v>44.111852009999993</c:v>
                </c:pt>
                <c:pt idx="242">
                  <c:v>44.111852009999993</c:v>
                </c:pt>
                <c:pt idx="243">
                  <c:v>44.111852009999993</c:v>
                </c:pt>
                <c:pt idx="244">
                  <c:v>44.111852009999993</c:v>
                </c:pt>
                <c:pt idx="245">
                  <c:v>44.111852009999993</c:v>
                </c:pt>
                <c:pt idx="246">
                  <c:v>44.111852009999993</c:v>
                </c:pt>
                <c:pt idx="247">
                  <c:v>44.111852009999993</c:v>
                </c:pt>
                <c:pt idx="248">
                  <c:v>44.111852009999993</c:v>
                </c:pt>
                <c:pt idx="249">
                  <c:v>44.111852009999993</c:v>
                </c:pt>
                <c:pt idx="250">
                  <c:v>44.111852009999993</c:v>
                </c:pt>
                <c:pt idx="251">
                  <c:v>44.111852009999993</c:v>
                </c:pt>
                <c:pt idx="252">
                  <c:v>44.111852009999993</c:v>
                </c:pt>
                <c:pt idx="253">
                  <c:v>44.111852009999993</c:v>
                </c:pt>
                <c:pt idx="254">
                  <c:v>44.111852009999993</c:v>
                </c:pt>
                <c:pt idx="255">
                  <c:v>44.111852009999993</c:v>
                </c:pt>
                <c:pt idx="256">
                  <c:v>44.111852009999993</c:v>
                </c:pt>
                <c:pt idx="257">
                  <c:v>44.111852009999993</c:v>
                </c:pt>
                <c:pt idx="258">
                  <c:v>44.111852009999993</c:v>
                </c:pt>
                <c:pt idx="259">
                  <c:v>44.111852009999993</c:v>
                </c:pt>
                <c:pt idx="260">
                  <c:v>44.111852009999993</c:v>
                </c:pt>
                <c:pt idx="261">
                  <c:v>44.111852009999993</c:v>
                </c:pt>
                <c:pt idx="262">
                  <c:v>44.111852009999993</c:v>
                </c:pt>
                <c:pt idx="263">
                  <c:v>44.111852009999993</c:v>
                </c:pt>
                <c:pt idx="264">
                  <c:v>44.111852009999993</c:v>
                </c:pt>
                <c:pt idx="265">
                  <c:v>44.111852009999993</c:v>
                </c:pt>
                <c:pt idx="266">
                  <c:v>44.111852009999993</c:v>
                </c:pt>
                <c:pt idx="267">
                  <c:v>44.111852009999993</c:v>
                </c:pt>
                <c:pt idx="268">
                  <c:v>44.111852009999993</c:v>
                </c:pt>
                <c:pt idx="269">
                  <c:v>44.111852009999993</c:v>
                </c:pt>
                <c:pt idx="270">
                  <c:v>44.111852009999993</c:v>
                </c:pt>
                <c:pt idx="271">
                  <c:v>44.111852009999993</c:v>
                </c:pt>
                <c:pt idx="272">
                  <c:v>44.111852009999993</c:v>
                </c:pt>
                <c:pt idx="273">
                  <c:v>44.111852009999993</c:v>
                </c:pt>
                <c:pt idx="274">
                  <c:v>44.111852009999993</c:v>
                </c:pt>
                <c:pt idx="275">
                  <c:v>44.111852009999993</c:v>
                </c:pt>
                <c:pt idx="276">
                  <c:v>44.111852009999993</c:v>
                </c:pt>
                <c:pt idx="277">
                  <c:v>44.111852009999993</c:v>
                </c:pt>
                <c:pt idx="278">
                  <c:v>44.111852009999993</c:v>
                </c:pt>
                <c:pt idx="279">
                  <c:v>44.111852009999993</c:v>
                </c:pt>
                <c:pt idx="280">
                  <c:v>44.111852009999993</c:v>
                </c:pt>
                <c:pt idx="281">
                  <c:v>44.111852009999993</c:v>
                </c:pt>
                <c:pt idx="282">
                  <c:v>44.111852009999993</c:v>
                </c:pt>
                <c:pt idx="283">
                  <c:v>44.111852009999993</c:v>
                </c:pt>
                <c:pt idx="284">
                  <c:v>44.111852009999993</c:v>
                </c:pt>
                <c:pt idx="285">
                  <c:v>44.111852009999993</c:v>
                </c:pt>
                <c:pt idx="286">
                  <c:v>44.111852009999993</c:v>
                </c:pt>
                <c:pt idx="287">
                  <c:v>44.111852009999993</c:v>
                </c:pt>
                <c:pt idx="288">
                  <c:v>44.111852009999993</c:v>
                </c:pt>
                <c:pt idx="289">
                  <c:v>44.111852009999993</c:v>
                </c:pt>
                <c:pt idx="290">
                  <c:v>44.111852009999993</c:v>
                </c:pt>
                <c:pt idx="291">
                  <c:v>44.111852009999993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338-4E7F-A8FD-31A27E76F6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7236207"/>
        <c:axId val="850704895"/>
      </c:scatterChart>
      <c:valAx>
        <c:axId val="17072362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Time</a:t>
                </a:r>
                <a:r>
                  <a:rPr lang="en-IN" baseline="0"/>
                  <a:t> (s)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0704895"/>
        <c:crosses val="autoZero"/>
        <c:crossBetween val="midCat"/>
      </c:valAx>
      <c:valAx>
        <c:axId val="850704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Displacement</a:t>
                </a:r>
                <a:r>
                  <a:rPr lang="en-IN" baseline="0"/>
                  <a:t> (cm)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72362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0848512685914264"/>
          <c:y val="0.83391149023038791"/>
          <c:w val="0.77207042869641296"/>
          <c:h val="0.156251093613298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182217</xdr:colOff>
      <xdr:row>6</xdr:row>
      <xdr:rowOff>115129</xdr:rowOff>
    </xdr:from>
    <xdr:to>
      <xdr:col>10</xdr:col>
      <xdr:colOff>530086</xdr:colOff>
      <xdr:row>21</xdr:row>
      <xdr:rowOff>125068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93805E-BC19-4DCB-8FE8-F82AF59772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DAFFC-80B8-4259-B103-1E4A5D10D8C9}">
  <dimension ref="A1:AH296"/>
  <sheetViews>
    <sheetView tabSelected="1" zoomScale="92" workbookViewId="0">
      <selection activeCell="W7" sqref="W7"/>
    </sheetView>
  </sheetViews>
  <sheetFormatPr defaultRowHeight="14.4" x14ac:dyDescent="0.3"/>
  <cols>
    <col min="1" max="1" width="15.6640625" customWidth="1"/>
    <col min="5" max="5" width="8" customWidth="1"/>
  </cols>
  <sheetData>
    <row r="1" spans="1:34" x14ac:dyDescent="0.3">
      <c r="A1" t="s">
        <v>2</v>
      </c>
      <c r="B1" t="s">
        <v>1</v>
      </c>
      <c r="C1" t="s">
        <v>0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3" t="s">
        <v>20</v>
      </c>
      <c r="Q1" s="2" t="s">
        <v>15</v>
      </c>
      <c r="R1" s="3" t="s">
        <v>0</v>
      </c>
      <c r="S1" s="4" t="s">
        <v>17</v>
      </c>
      <c r="AD1" s="1"/>
      <c r="AE1" s="1"/>
      <c r="AG1" s="1"/>
      <c r="AH1" s="1"/>
    </row>
    <row r="2" spans="1:34" x14ac:dyDescent="0.3">
      <c r="A2">
        <v>11318187</v>
      </c>
      <c r="B2">
        <v>0</v>
      </c>
      <c r="C2">
        <v>0</v>
      </c>
      <c r="D2">
        <v>-0.76</v>
      </c>
      <c r="E2">
        <v>0.18</v>
      </c>
      <c r="F2">
        <v>-0.62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 s="5">
        <v>2.64E-2</v>
      </c>
      <c r="R2">
        <v>0</v>
      </c>
      <c r="S2">
        <f>SQRT(O2*O2)*100</f>
        <v>0</v>
      </c>
    </row>
    <row r="3" spans="1:34" x14ac:dyDescent="0.3">
      <c r="A3">
        <v>11318277</v>
      </c>
      <c r="B3">
        <f>(A3-A2)/1000</f>
        <v>0.09</v>
      </c>
      <c r="C3">
        <f>(A3-$A$2)/1000</f>
        <v>0.09</v>
      </c>
      <c r="D3">
        <v>-0.76</v>
      </c>
      <c r="E3">
        <v>0.18</v>
      </c>
      <c r="F3">
        <v>-0.62</v>
      </c>
      <c r="G3">
        <f>ABS(D3-D2)</f>
        <v>0</v>
      </c>
      <c r="H3">
        <f>ABS(E3-E2)</f>
        <v>0</v>
      </c>
      <c r="I3">
        <f>ABS(F3-F2)</f>
        <v>0</v>
      </c>
      <c r="J3">
        <f t="shared" ref="J3:J66" si="0">IF(ABS(D3-D2) &gt; $Q$2, 1/2*(D3+D2)*9.81*B3 + J2, 0)</f>
        <v>0</v>
      </c>
      <c r="K3">
        <f t="shared" ref="K3:K66" si="1">IF(ABS(E3-E2) &gt; $Q$2, 1/2*(E3+E2)*9.81*B3 + K2, 0)</f>
        <v>0</v>
      </c>
      <c r="L3">
        <f t="shared" ref="L3:L66" si="2">IF(ABS(F3-F2) &gt; $Q$2, 1/2*(F3+F2)*9.81*B3 + L2, 0)</f>
        <v>0</v>
      </c>
      <c r="M3">
        <f>1/2*(J3+J2)*B3 + M2</f>
        <v>0</v>
      </c>
      <c r="N3">
        <f>1/2*(K3+K2)*B3 + N2</f>
        <v>0</v>
      </c>
      <c r="O3">
        <f>1/2*(L3+L2)*B3 + O2</f>
        <v>0</v>
      </c>
      <c r="P3">
        <v>0</v>
      </c>
      <c r="Q3" s="5" t="s">
        <v>16</v>
      </c>
      <c r="R3">
        <v>0.09</v>
      </c>
      <c r="S3">
        <f t="shared" ref="S3:S66" si="3">SQRT(O3*O3)*100</f>
        <v>0</v>
      </c>
    </row>
    <row r="4" spans="1:34" x14ac:dyDescent="0.3">
      <c r="A4">
        <v>11318368</v>
      </c>
      <c r="B4">
        <f t="shared" ref="B4:B67" si="4">(A4-A3)/1000</f>
        <v>9.0999999999999998E-2</v>
      </c>
      <c r="C4">
        <f t="shared" ref="C4:C67" si="5">(A4-$A$2)/1000</f>
        <v>0.18099999999999999</v>
      </c>
      <c r="D4">
        <v>-0.76</v>
      </c>
      <c r="E4">
        <v>0.18</v>
      </c>
      <c r="F4">
        <v>-0.62</v>
      </c>
      <c r="G4">
        <f t="shared" ref="G4:G67" si="6">ABS(D4-D3)</f>
        <v>0</v>
      </c>
      <c r="H4">
        <f t="shared" ref="H4:H67" si="7">ABS(E4-E3)</f>
        <v>0</v>
      </c>
      <c r="I4">
        <f t="shared" ref="I4:I67" si="8">ABS(F4-F3)</f>
        <v>0</v>
      </c>
      <c r="J4">
        <f t="shared" si="0"/>
        <v>0</v>
      </c>
      <c r="K4">
        <f t="shared" si="1"/>
        <v>0</v>
      </c>
      <c r="L4">
        <f t="shared" si="2"/>
        <v>0</v>
      </c>
      <c r="M4">
        <f t="shared" ref="M4:M67" si="9">1/2*(J4+J3)*B4 + M3</f>
        <v>0</v>
      </c>
      <c r="N4">
        <f t="shared" ref="N4:N67" si="10">1/2*(K4+K3)*B4 + N3</f>
        <v>0</v>
      </c>
      <c r="O4">
        <f t="shared" ref="O4:O67" si="11">1/2*(L4+L3)*B4 + O3</f>
        <v>0</v>
      </c>
      <c r="P4">
        <v>0.42000000000000171</v>
      </c>
      <c r="Q4" s="5"/>
      <c r="R4">
        <v>0.18099999999999999</v>
      </c>
      <c r="S4">
        <f t="shared" si="3"/>
        <v>0</v>
      </c>
    </row>
    <row r="5" spans="1:34" x14ac:dyDescent="0.3">
      <c r="A5">
        <v>11318459</v>
      </c>
      <c r="B5">
        <f t="shared" si="4"/>
        <v>9.0999999999999998E-2</v>
      </c>
      <c r="C5">
        <f t="shared" si="5"/>
        <v>0.27200000000000002</v>
      </c>
      <c r="D5">
        <v>-0.76</v>
      </c>
      <c r="E5">
        <v>0.18</v>
      </c>
      <c r="F5">
        <v>-0.63</v>
      </c>
      <c r="G5">
        <f t="shared" si="6"/>
        <v>0</v>
      </c>
      <c r="H5">
        <f t="shared" si="7"/>
        <v>0</v>
      </c>
      <c r="I5">
        <f t="shared" si="8"/>
        <v>1.0000000000000009E-2</v>
      </c>
      <c r="J5">
        <f t="shared" si="0"/>
        <v>0</v>
      </c>
      <c r="K5">
        <f t="shared" si="1"/>
        <v>0</v>
      </c>
      <c r="L5">
        <f t="shared" si="2"/>
        <v>0</v>
      </c>
      <c r="M5">
        <f t="shared" si="9"/>
        <v>0</v>
      </c>
      <c r="N5">
        <f t="shared" si="10"/>
        <v>0</v>
      </c>
      <c r="O5">
        <f t="shared" si="11"/>
        <v>0</v>
      </c>
      <c r="P5">
        <v>0.42000000000000171</v>
      </c>
      <c r="R5">
        <v>0.27200000000000002</v>
      </c>
      <c r="S5">
        <f t="shared" si="3"/>
        <v>0</v>
      </c>
    </row>
    <row r="6" spans="1:34" x14ac:dyDescent="0.3">
      <c r="A6">
        <v>11318549</v>
      </c>
      <c r="B6">
        <f t="shared" si="4"/>
        <v>0.09</v>
      </c>
      <c r="C6">
        <f t="shared" si="5"/>
        <v>0.36199999999999999</v>
      </c>
      <c r="D6">
        <v>-0.76</v>
      </c>
      <c r="E6">
        <v>0.18</v>
      </c>
      <c r="F6">
        <v>-0.63</v>
      </c>
      <c r="G6">
        <f t="shared" si="6"/>
        <v>0</v>
      </c>
      <c r="H6">
        <f t="shared" si="7"/>
        <v>0</v>
      </c>
      <c r="I6">
        <f t="shared" si="8"/>
        <v>0</v>
      </c>
      <c r="J6">
        <f t="shared" si="0"/>
        <v>0</v>
      </c>
      <c r="K6">
        <f t="shared" si="1"/>
        <v>0</v>
      </c>
      <c r="L6">
        <f t="shared" si="2"/>
        <v>0</v>
      </c>
      <c r="M6">
        <f t="shared" si="9"/>
        <v>0</v>
      </c>
      <c r="N6">
        <f t="shared" si="10"/>
        <v>0</v>
      </c>
      <c r="O6">
        <f t="shared" si="11"/>
        <v>0</v>
      </c>
      <c r="P6">
        <v>0.21000000000000085</v>
      </c>
      <c r="R6">
        <v>0.36199999999999999</v>
      </c>
      <c r="S6">
        <f t="shared" si="3"/>
        <v>0</v>
      </c>
    </row>
    <row r="7" spans="1:34" x14ac:dyDescent="0.3">
      <c r="A7">
        <v>11318640</v>
      </c>
      <c r="B7">
        <f t="shared" si="4"/>
        <v>9.0999999999999998E-2</v>
      </c>
      <c r="C7">
        <f t="shared" si="5"/>
        <v>0.45300000000000001</v>
      </c>
      <c r="D7">
        <v>-0.76</v>
      </c>
      <c r="E7">
        <v>0.17</v>
      </c>
      <c r="F7">
        <v>-0.61</v>
      </c>
      <c r="G7">
        <f t="shared" si="6"/>
        <v>0</v>
      </c>
      <c r="H7">
        <f t="shared" si="7"/>
        <v>9.9999999999999811E-3</v>
      </c>
      <c r="I7">
        <f t="shared" si="8"/>
        <v>2.0000000000000018E-2</v>
      </c>
      <c r="J7">
        <f t="shared" si="0"/>
        <v>0</v>
      </c>
      <c r="K7">
        <f t="shared" si="1"/>
        <v>0</v>
      </c>
      <c r="L7">
        <f t="shared" si="2"/>
        <v>0</v>
      </c>
      <c r="M7">
        <f t="shared" si="9"/>
        <v>0</v>
      </c>
      <c r="N7">
        <f t="shared" si="10"/>
        <v>0</v>
      </c>
      <c r="O7">
        <f t="shared" si="11"/>
        <v>0</v>
      </c>
      <c r="P7">
        <v>0.42000000000000171</v>
      </c>
      <c r="R7">
        <v>0.45300000000000001</v>
      </c>
      <c r="S7">
        <f t="shared" si="3"/>
        <v>0</v>
      </c>
    </row>
    <row r="8" spans="1:34" x14ac:dyDescent="0.3">
      <c r="A8">
        <v>11318731</v>
      </c>
      <c r="B8">
        <f t="shared" si="4"/>
        <v>9.0999999999999998E-2</v>
      </c>
      <c r="C8">
        <f t="shared" si="5"/>
        <v>0.54400000000000004</v>
      </c>
      <c r="D8">
        <v>-0.76</v>
      </c>
      <c r="E8">
        <v>0.18</v>
      </c>
      <c r="F8">
        <v>-0.62</v>
      </c>
      <c r="G8">
        <f t="shared" si="6"/>
        <v>0</v>
      </c>
      <c r="H8">
        <f t="shared" si="7"/>
        <v>9.9999999999999811E-3</v>
      </c>
      <c r="I8">
        <f t="shared" si="8"/>
        <v>1.0000000000000009E-2</v>
      </c>
      <c r="J8">
        <f t="shared" si="0"/>
        <v>0</v>
      </c>
      <c r="K8">
        <f t="shared" si="1"/>
        <v>0</v>
      </c>
      <c r="L8">
        <f t="shared" si="2"/>
        <v>0</v>
      </c>
      <c r="M8">
        <f t="shared" si="9"/>
        <v>0</v>
      </c>
      <c r="N8">
        <f t="shared" si="10"/>
        <v>0</v>
      </c>
      <c r="O8">
        <f t="shared" si="11"/>
        <v>0</v>
      </c>
      <c r="P8">
        <v>-0.2099999999999973</v>
      </c>
      <c r="R8">
        <v>0.54400000000000004</v>
      </c>
      <c r="S8">
        <f t="shared" si="3"/>
        <v>0</v>
      </c>
    </row>
    <row r="9" spans="1:34" x14ac:dyDescent="0.3">
      <c r="A9">
        <v>11318821</v>
      </c>
      <c r="B9">
        <f t="shared" si="4"/>
        <v>0.09</v>
      </c>
      <c r="C9">
        <f t="shared" si="5"/>
        <v>0.63400000000000001</v>
      </c>
      <c r="D9">
        <v>-0.76</v>
      </c>
      <c r="E9">
        <v>0.18</v>
      </c>
      <c r="F9">
        <v>-0.63</v>
      </c>
      <c r="G9">
        <f t="shared" si="6"/>
        <v>0</v>
      </c>
      <c r="H9">
        <f t="shared" si="7"/>
        <v>0</v>
      </c>
      <c r="I9">
        <f t="shared" si="8"/>
        <v>1.0000000000000009E-2</v>
      </c>
      <c r="J9">
        <f t="shared" si="0"/>
        <v>0</v>
      </c>
      <c r="K9">
        <f t="shared" si="1"/>
        <v>0</v>
      </c>
      <c r="L9">
        <f t="shared" si="2"/>
        <v>0</v>
      </c>
      <c r="M9">
        <f t="shared" si="9"/>
        <v>0</v>
      </c>
      <c r="N9">
        <f t="shared" si="10"/>
        <v>0</v>
      </c>
      <c r="O9">
        <f t="shared" si="11"/>
        <v>0</v>
      </c>
      <c r="P9">
        <v>0.42000000000000171</v>
      </c>
      <c r="R9">
        <v>0.63400000000000001</v>
      </c>
      <c r="S9">
        <f t="shared" si="3"/>
        <v>0</v>
      </c>
    </row>
    <row r="10" spans="1:34" x14ac:dyDescent="0.3">
      <c r="A10">
        <v>11318913</v>
      </c>
      <c r="B10">
        <f t="shared" si="4"/>
        <v>9.1999999999999998E-2</v>
      </c>
      <c r="C10">
        <f t="shared" si="5"/>
        <v>0.72599999999999998</v>
      </c>
      <c r="D10">
        <v>-0.76</v>
      </c>
      <c r="E10">
        <v>0.17</v>
      </c>
      <c r="F10">
        <v>-0.62</v>
      </c>
      <c r="G10">
        <f t="shared" si="6"/>
        <v>0</v>
      </c>
      <c r="H10">
        <f t="shared" si="7"/>
        <v>9.9999999999999811E-3</v>
      </c>
      <c r="I10">
        <f t="shared" si="8"/>
        <v>1.0000000000000009E-2</v>
      </c>
      <c r="J10">
        <f t="shared" si="0"/>
        <v>0</v>
      </c>
      <c r="K10">
        <f t="shared" si="1"/>
        <v>0</v>
      </c>
      <c r="L10">
        <f t="shared" si="2"/>
        <v>0</v>
      </c>
      <c r="M10">
        <f t="shared" si="9"/>
        <v>0</v>
      </c>
      <c r="N10">
        <f t="shared" si="10"/>
        <v>0</v>
      </c>
      <c r="O10">
        <f t="shared" si="11"/>
        <v>0</v>
      </c>
      <c r="P10">
        <v>0.42000000000000171</v>
      </c>
      <c r="R10">
        <v>0.72599999999999998</v>
      </c>
      <c r="S10">
        <f t="shared" si="3"/>
        <v>0</v>
      </c>
    </row>
    <row r="11" spans="1:34" x14ac:dyDescent="0.3">
      <c r="A11">
        <v>11319004</v>
      </c>
      <c r="B11">
        <f t="shared" si="4"/>
        <v>9.0999999999999998E-2</v>
      </c>
      <c r="C11">
        <f t="shared" si="5"/>
        <v>0.81699999999999995</v>
      </c>
      <c r="D11">
        <v>-0.76</v>
      </c>
      <c r="E11">
        <v>0.18</v>
      </c>
      <c r="F11">
        <v>-0.62</v>
      </c>
      <c r="G11">
        <f t="shared" si="6"/>
        <v>0</v>
      </c>
      <c r="H11">
        <f t="shared" si="7"/>
        <v>9.9999999999999811E-3</v>
      </c>
      <c r="I11">
        <f t="shared" si="8"/>
        <v>0</v>
      </c>
      <c r="J11">
        <f t="shared" si="0"/>
        <v>0</v>
      </c>
      <c r="K11">
        <f t="shared" si="1"/>
        <v>0</v>
      </c>
      <c r="L11">
        <f t="shared" si="2"/>
        <v>0</v>
      </c>
      <c r="M11">
        <f t="shared" si="9"/>
        <v>0</v>
      </c>
      <c r="N11">
        <f t="shared" si="10"/>
        <v>0</v>
      </c>
      <c r="O11">
        <f t="shared" si="11"/>
        <v>0</v>
      </c>
      <c r="P11">
        <v>0</v>
      </c>
      <c r="R11">
        <v>0.81699999999999995</v>
      </c>
      <c r="S11">
        <f t="shared" si="3"/>
        <v>0</v>
      </c>
    </row>
    <row r="12" spans="1:34" x14ac:dyDescent="0.3">
      <c r="A12">
        <v>11319094</v>
      </c>
      <c r="B12">
        <f t="shared" si="4"/>
        <v>0.09</v>
      </c>
      <c r="C12">
        <f t="shared" si="5"/>
        <v>0.90700000000000003</v>
      </c>
      <c r="D12">
        <v>-0.76</v>
      </c>
      <c r="E12">
        <v>0.18</v>
      </c>
      <c r="F12">
        <v>-0.62</v>
      </c>
      <c r="G12">
        <f t="shared" si="6"/>
        <v>0</v>
      </c>
      <c r="H12">
        <f t="shared" si="7"/>
        <v>0</v>
      </c>
      <c r="I12">
        <f t="shared" si="8"/>
        <v>0</v>
      </c>
      <c r="J12">
        <f t="shared" si="0"/>
        <v>0</v>
      </c>
      <c r="K12">
        <f t="shared" si="1"/>
        <v>0</v>
      </c>
      <c r="L12">
        <f t="shared" si="2"/>
        <v>0</v>
      </c>
      <c r="M12">
        <f t="shared" si="9"/>
        <v>0</v>
      </c>
      <c r="N12">
        <f t="shared" si="10"/>
        <v>0</v>
      </c>
      <c r="O12">
        <f t="shared" si="11"/>
        <v>0</v>
      </c>
      <c r="P12">
        <v>-0.2099999999999973</v>
      </c>
      <c r="R12">
        <v>0.90700000000000003</v>
      </c>
      <c r="S12">
        <f t="shared" si="3"/>
        <v>0</v>
      </c>
    </row>
    <row r="13" spans="1:34" x14ac:dyDescent="0.3">
      <c r="A13">
        <v>11319185</v>
      </c>
      <c r="B13">
        <f t="shared" si="4"/>
        <v>9.0999999999999998E-2</v>
      </c>
      <c r="C13">
        <f t="shared" si="5"/>
        <v>0.998</v>
      </c>
      <c r="D13">
        <v>-0.76</v>
      </c>
      <c r="E13">
        <v>0.18</v>
      </c>
      <c r="F13">
        <v>-0.62</v>
      </c>
      <c r="G13">
        <f t="shared" si="6"/>
        <v>0</v>
      </c>
      <c r="H13">
        <f t="shared" si="7"/>
        <v>0</v>
      </c>
      <c r="I13">
        <f t="shared" si="8"/>
        <v>0</v>
      </c>
      <c r="J13">
        <f t="shared" si="0"/>
        <v>0</v>
      </c>
      <c r="K13">
        <f t="shared" si="1"/>
        <v>0</v>
      </c>
      <c r="L13">
        <f t="shared" si="2"/>
        <v>0</v>
      </c>
      <c r="M13">
        <f t="shared" si="9"/>
        <v>0</v>
      </c>
      <c r="N13">
        <f t="shared" si="10"/>
        <v>0</v>
      </c>
      <c r="O13">
        <f t="shared" si="11"/>
        <v>0</v>
      </c>
      <c r="P13">
        <v>0.42000000000000171</v>
      </c>
      <c r="R13">
        <v>0.998</v>
      </c>
      <c r="S13">
        <f t="shared" si="3"/>
        <v>0</v>
      </c>
    </row>
    <row r="14" spans="1:34" x14ac:dyDescent="0.3">
      <c r="A14">
        <v>11319276</v>
      </c>
      <c r="B14">
        <f t="shared" si="4"/>
        <v>9.0999999999999998E-2</v>
      </c>
      <c r="C14">
        <f t="shared" si="5"/>
        <v>1.089</v>
      </c>
      <c r="D14">
        <v>-0.76</v>
      </c>
      <c r="E14">
        <v>0.18</v>
      </c>
      <c r="F14">
        <v>-0.62</v>
      </c>
      <c r="G14">
        <f t="shared" si="6"/>
        <v>0</v>
      </c>
      <c r="H14">
        <f t="shared" si="7"/>
        <v>0</v>
      </c>
      <c r="I14">
        <f t="shared" si="8"/>
        <v>0</v>
      </c>
      <c r="J14">
        <f t="shared" si="0"/>
        <v>0</v>
      </c>
      <c r="K14">
        <f t="shared" si="1"/>
        <v>0</v>
      </c>
      <c r="L14">
        <f t="shared" si="2"/>
        <v>0</v>
      </c>
      <c r="M14">
        <f t="shared" si="9"/>
        <v>0</v>
      </c>
      <c r="N14">
        <f t="shared" si="10"/>
        <v>0</v>
      </c>
      <c r="O14">
        <f t="shared" si="11"/>
        <v>0</v>
      </c>
      <c r="P14">
        <v>0.21000000000000085</v>
      </c>
      <c r="R14">
        <v>1.089</v>
      </c>
      <c r="S14">
        <f t="shared" si="3"/>
        <v>0</v>
      </c>
    </row>
    <row r="15" spans="1:34" x14ac:dyDescent="0.3">
      <c r="A15">
        <v>11319366</v>
      </c>
      <c r="B15">
        <f t="shared" si="4"/>
        <v>0.09</v>
      </c>
      <c r="C15">
        <f t="shared" si="5"/>
        <v>1.179</v>
      </c>
      <c r="D15">
        <v>-0.77</v>
      </c>
      <c r="E15">
        <v>0.17</v>
      </c>
      <c r="F15">
        <v>-0.62</v>
      </c>
      <c r="G15">
        <f t="shared" si="6"/>
        <v>1.0000000000000009E-2</v>
      </c>
      <c r="H15">
        <f t="shared" si="7"/>
        <v>9.9999999999999811E-3</v>
      </c>
      <c r="I15">
        <f t="shared" si="8"/>
        <v>0</v>
      </c>
      <c r="J15">
        <f t="shared" si="0"/>
        <v>0</v>
      </c>
      <c r="K15">
        <f t="shared" si="1"/>
        <v>0</v>
      </c>
      <c r="L15">
        <f t="shared" si="2"/>
        <v>0</v>
      </c>
      <c r="M15">
        <f t="shared" si="9"/>
        <v>0</v>
      </c>
      <c r="N15">
        <f t="shared" si="10"/>
        <v>0</v>
      </c>
      <c r="O15">
        <f t="shared" si="11"/>
        <v>0</v>
      </c>
      <c r="P15">
        <v>0</v>
      </c>
      <c r="R15">
        <v>1.179</v>
      </c>
      <c r="S15">
        <f t="shared" si="3"/>
        <v>0</v>
      </c>
    </row>
    <row r="16" spans="1:34" x14ac:dyDescent="0.3">
      <c r="A16">
        <v>11319457</v>
      </c>
      <c r="B16">
        <f t="shared" si="4"/>
        <v>9.0999999999999998E-2</v>
      </c>
      <c r="C16">
        <f t="shared" si="5"/>
        <v>1.27</v>
      </c>
      <c r="D16">
        <v>-0.76</v>
      </c>
      <c r="E16">
        <v>0.18</v>
      </c>
      <c r="F16">
        <v>-0.63</v>
      </c>
      <c r="G16">
        <f t="shared" si="6"/>
        <v>1.0000000000000009E-2</v>
      </c>
      <c r="H16">
        <f t="shared" si="7"/>
        <v>9.9999999999999811E-3</v>
      </c>
      <c r="I16">
        <f t="shared" si="8"/>
        <v>1.0000000000000009E-2</v>
      </c>
      <c r="J16">
        <f t="shared" si="0"/>
        <v>0</v>
      </c>
      <c r="K16">
        <f t="shared" si="1"/>
        <v>0</v>
      </c>
      <c r="L16">
        <f t="shared" si="2"/>
        <v>0</v>
      </c>
      <c r="M16">
        <f t="shared" si="9"/>
        <v>0</v>
      </c>
      <c r="N16">
        <f t="shared" si="10"/>
        <v>0</v>
      </c>
      <c r="O16">
        <f t="shared" si="11"/>
        <v>0</v>
      </c>
      <c r="P16">
        <v>-0.2099999999999973</v>
      </c>
      <c r="R16">
        <v>1.27</v>
      </c>
      <c r="S16">
        <f t="shared" si="3"/>
        <v>0</v>
      </c>
    </row>
    <row r="17" spans="1:19" x14ac:dyDescent="0.3">
      <c r="A17">
        <v>11319548</v>
      </c>
      <c r="B17">
        <f t="shared" si="4"/>
        <v>9.0999999999999998E-2</v>
      </c>
      <c r="C17">
        <f t="shared" si="5"/>
        <v>1.361</v>
      </c>
      <c r="D17">
        <v>-0.76</v>
      </c>
      <c r="E17">
        <v>0.17</v>
      </c>
      <c r="F17">
        <v>-0.62</v>
      </c>
      <c r="G17">
        <f t="shared" si="6"/>
        <v>0</v>
      </c>
      <c r="H17">
        <f t="shared" si="7"/>
        <v>9.9999999999999811E-3</v>
      </c>
      <c r="I17">
        <f t="shared" si="8"/>
        <v>1.0000000000000009E-2</v>
      </c>
      <c r="J17">
        <f t="shared" si="0"/>
        <v>0</v>
      </c>
      <c r="K17">
        <f t="shared" si="1"/>
        <v>0</v>
      </c>
      <c r="L17">
        <f t="shared" si="2"/>
        <v>0</v>
      </c>
      <c r="M17">
        <f t="shared" si="9"/>
        <v>0</v>
      </c>
      <c r="N17">
        <f t="shared" si="10"/>
        <v>0</v>
      </c>
      <c r="O17">
        <f t="shared" si="11"/>
        <v>0</v>
      </c>
      <c r="P17">
        <v>-0.2099999999999973</v>
      </c>
      <c r="R17">
        <v>1.361</v>
      </c>
      <c r="S17">
        <f t="shared" si="3"/>
        <v>0</v>
      </c>
    </row>
    <row r="18" spans="1:19" x14ac:dyDescent="0.3">
      <c r="A18">
        <v>11319639</v>
      </c>
      <c r="B18">
        <f t="shared" si="4"/>
        <v>9.0999999999999998E-2</v>
      </c>
      <c r="C18">
        <f t="shared" si="5"/>
        <v>1.452</v>
      </c>
      <c r="D18">
        <v>-0.76</v>
      </c>
      <c r="E18">
        <v>0.18</v>
      </c>
      <c r="F18">
        <v>-0.62</v>
      </c>
      <c r="G18">
        <f t="shared" si="6"/>
        <v>0</v>
      </c>
      <c r="H18">
        <f t="shared" si="7"/>
        <v>9.9999999999999811E-3</v>
      </c>
      <c r="I18">
        <f t="shared" si="8"/>
        <v>0</v>
      </c>
      <c r="J18">
        <f t="shared" si="0"/>
        <v>0</v>
      </c>
      <c r="K18">
        <f t="shared" si="1"/>
        <v>0</v>
      </c>
      <c r="L18">
        <f t="shared" si="2"/>
        <v>0</v>
      </c>
      <c r="M18">
        <f t="shared" si="9"/>
        <v>0</v>
      </c>
      <c r="N18">
        <f t="shared" si="10"/>
        <v>0</v>
      </c>
      <c r="O18">
        <f t="shared" si="11"/>
        <v>0</v>
      </c>
      <c r="P18">
        <v>0.42000000000000171</v>
      </c>
      <c r="R18">
        <v>1.452</v>
      </c>
      <c r="S18">
        <f t="shared" si="3"/>
        <v>0</v>
      </c>
    </row>
    <row r="19" spans="1:19" x14ac:dyDescent="0.3">
      <c r="A19">
        <v>11319730</v>
      </c>
      <c r="B19">
        <f t="shared" si="4"/>
        <v>9.0999999999999998E-2</v>
      </c>
      <c r="C19">
        <f t="shared" si="5"/>
        <v>1.5429999999999999</v>
      </c>
      <c r="D19">
        <v>-0.77</v>
      </c>
      <c r="E19">
        <v>0.17</v>
      </c>
      <c r="F19">
        <v>-0.62</v>
      </c>
      <c r="G19">
        <f t="shared" si="6"/>
        <v>1.0000000000000009E-2</v>
      </c>
      <c r="H19">
        <f t="shared" si="7"/>
        <v>9.9999999999999811E-3</v>
      </c>
      <c r="I19">
        <f t="shared" si="8"/>
        <v>0</v>
      </c>
      <c r="J19">
        <f t="shared" si="0"/>
        <v>0</v>
      </c>
      <c r="K19">
        <f t="shared" si="1"/>
        <v>0</v>
      </c>
      <c r="L19">
        <f t="shared" si="2"/>
        <v>0</v>
      </c>
      <c r="M19">
        <f t="shared" si="9"/>
        <v>0</v>
      </c>
      <c r="N19">
        <f t="shared" si="10"/>
        <v>0</v>
      </c>
      <c r="O19">
        <f t="shared" si="11"/>
        <v>0</v>
      </c>
      <c r="P19">
        <v>0</v>
      </c>
      <c r="R19">
        <v>1.5429999999999999</v>
      </c>
      <c r="S19">
        <f t="shared" si="3"/>
        <v>0</v>
      </c>
    </row>
    <row r="20" spans="1:19" x14ac:dyDescent="0.3">
      <c r="A20">
        <v>11319821</v>
      </c>
      <c r="B20">
        <f t="shared" si="4"/>
        <v>9.0999999999999998E-2</v>
      </c>
      <c r="C20">
        <f t="shared" si="5"/>
        <v>1.6339999999999999</v>
      </c>
      <c r="D20">
        <v>-0.76</v>
      </c>
      <c r="E20">
        <v>0.18</v>
      </c>
      <c r="F20">
        <v>-0.63</v>
      </c>
      <c r="G20">
        <f t="shared" si="6"/>
        <v>1.0000000000000009E-2</v>
      </c>
      <c r="H20">
        <f t="shared" si="7"/>
        <v>9.9999999999999811E-3</v>
      </c>
      <c r="I20">
        <f t="shared" si="8"/>
        <v>1.0000000000000009E-2</v>
      </c>
      <c r="J20">
        <f t="shared" si="0"/>
        <v>0</v>
      </c>
      <c r="K20">
        <f t="shared" si="1"/>
        <v>0</v>
      </c>
      <c r="L20">
        <f t="shared" si="2"/>
        <v>0</v>
      </c>
      <c r="M20">
        <f t="shared" si="9"/>
        <v>0</v>
      </c>
      <c r="N20">
        <f t="shared" si="10"/>
        <v>0</v>
      </c>
      <c r="O20">
        <f t="shared" si="11"/>
        <v>0</v>
      </c>
      <c r="P20">
        <v>0.21000000000000085</v>
      </c>
      <c r="R20">
        <v>1.6339999999999999</v>
      </c>
      <c r="S20">
        <f t="shared" si="3"/>
        <v>0</v>
      </c>
    </row>
    <row r="21" spans="1:19" x14ac:dyDescent="0.3">
      <c r="A21">
        <v>11319911</v>
      </c>
      <c r="B21">
        <f t="shared" si="4"/>
        <v>0.09</v>
      </c>
      <c r="C21">
        <f t="shared" si="5"/>
        <v>1.724</v>
      </c>
      <c r="D21">
        <v>-0.76</v>
      </c>
      <c r="E21">
        <v>0.17</v>
      </c>
      <c r="F21">
        <v>-0.62</v>
      </c>
      <c r="G21">
        <f t="shared" si="6"/>
        <v>0</v>
      </c>
      <c r="H21">
        <f t="shared" si="7"/>
        <v>9.9999999999999811E-3</v>
      </c>
      <c r="I21">
        <f t="shared" si="8"/>
        <v>1.0000000000000009E-2</v>
      </c>
      <c r="J21">
        <f t="shared" si="0"/>
        <v>0</v>
      </c>
      <c r="K21">
        <f t="shared" si="1"/>
        <v>0</v>
      </c>
      <c r="L21">
        <f t="shared" si="2"/>
        <v>0</v>
      </c>
      <c r="M21">
        <f t="shared" si="9"/>
        <v>0</v>
      </c>
      <c r="N21">
        <f t="shared" si="10"/>
        <v>0</v>
      </c>
      <c r="O21">
        <f t="shared" si="11"/>
        <v>0</v>
      </c>
      <c r="P21">
        <v>0</v>
      </c>
      <c r="R21">
        <v>1.724</v>
      </c>
      <c r="S21">
        <f t="shared" si="3"/>
        <v>0</v>
      </c>
    </row>
    <row r="22" spans="1:19" x14ac:dyDescent="0.3">
      <c r="A22">
        <v>11320002</v>
      </c>
      <c r="B22">
        <f t="shared" si="4"/>
        <v>9.0999999999999998E-2</v>
      </c>
      <c r="C22">
        <f t="shared" si="5"/>
        <v>1.8149999999999999</v>
      </c>
      <c r="D22">
        <v>-0.76</v>
      </c>
      <c r="E22">
        <v>0.17</v>
      </c>
      <c r="F22">
        <v>-0.62</v>
      </c>
      <c r="G22">
        <f t="shared" si="6"/>
        <v>0</v>
      </c>
      <c r="H22">
        <f t="shared" si="7"/>
        <v>0</v>
      </c>
      <c r="I22">
        <f t="shared" si="8"/>
        <v>0</v>
      </c>
      <c r="J22">
        <f t="shared" si="0"/>
        <v>0</v>
      </c>
      <c r="K22">
        <f t="shared" si="1"/>
        <v>0</v>
      </c>
      <c r="L22">
        <f t="shared" si="2"/>
        <v>0</v>
      </c>
      <c r="M22">
        <f t="shared" si="9"/>
        <v>0</v>
      </c>
      <c r="N22">
        <f t="shared" si="10"/>
        <v>0</v>
      </c>
      <c r="O22">
        <f t="shared" si="11"/>
        <v>0</v>
      </c>
      <c r="P22">
        <v>0.42000000000000171</v>
      </c>
      <c r="R22">
        <v>1.8149999999999999</v>
      </c>
      <c r="S22">
        <f t="shared" si="3"/>
        <v>0</v>
      </c>
    </row>
    <row r="23" spans="1:19" x14ac:dyDescent="0.3">
      <c r="A23">
        <v>11320093</v>
      </c>
      <c r="B23">
        <f t="shared" si="4"/>
        <v>9.0999999999999998E-2</v>
      </c>
      <c r="C23">
        <f t="shared" si="5"/>
        <v>1.9059999999999999</v>
      </c>
      <c r="D23">
        <v>-0.76</v>
      </c>
      <c r="E23">
        <v>0.18</v>
      </c>
      <c r="F23">
        <v>-0.63</v>
      </c>
      <c r="G23">
        <f t="shared" si="6"/>
        <v>0</v>
      </c>
      <c r="H23">
        <f t="shared" si="7"/>
        <v>9.9999999999999811E-3</v>
      </c>
      <c r="I23">
        <f t="shared" si="8"/>
        <v>1.0000000000000009E-2</v>
      </c>
      <c r="J23">
        <f t="shared" si="0"/>
        <v>0</v>
      </c>
      <c r="K23">
        <f t="shared" si="1"/>
        <v>0</v>
      </c>
      <c r="L23">
        <f t="shared" si="2"/>
        <v>0</v>
      </c>
      <c r="M23">
        <f t="shared" si="9"/>
        <v>0</v>
      </c>
      <c r="N23">
        <f t="shared" si="10"/>
        <v>0</v>
      </c>
      <c r="O23">
        <f t="shared" si="11"/>
        <v>0</v>
      </c>
      <c r="P23">
        <v>0.42000000000000171</v>
      </c>
      <c r="R23">
        <v>1.9059999999999999</v>
      </c>
      <c r="S23">
        <f t="shared" si="3"/>
        <v>0</v>
      </c>
    </row>
    <row r="24" spans="1:19" x14ac:dyDescent="0.3">
      <c r="A24">
        <v>11320183</v>
      </c>
      <c r="B24">
        <f t="shared" si="4"/>
        <v>0.09</v>
      </c>
      <c r="C24">
        <f t="shared" si="5"/>
        <v>1.996</v>
      </c>
      <c r="D24">
        <v>-0.76</v>
      </c>
      <c r="E24">
        <v>0.18</v>
      </c>
      <c r="F24">
        <v>-0.63</v>
      </c>
      <c r="G24">
        <f t="shared" si="6"/>
        <v>0</v>
      </c>
      <c r="H24">
        <f t="shared" si="7"/>
        <v>0</v>
      </c>
      <c r="I24">
        <f t="shared" si="8"/>
        <v>0</v>
      </c>
      <c r="J24">
        <f t="shared" si="0"/>
        <v>0</v>
      </c>
      <c r="K24">
        <f t="shared" si="1"/>
        <v>0</v>
      </c>
      <c r="L24">
        <f t="shared" si="2"/>
        <v>0</v>
      </c>
      <c r="M24">
        <f t="shared" si="9"/>
        <v>0</v>
      </c>
      <c r="N24">
        <f t="shared" si="10"/>
        <v>0</v>
      </c>
      <c r="O24">
        <f t="shared" si="11"/>
        <v>0</v>
      </c>
      <c r="P24">
        <v>0.21000000000000085</v>
      </c>
      <c r="R24">
        <v>1.996</v>
      </c>
      <c r="S24">
        <f t="shared" si="3"/>
        <v>0</v>
      </c>
    </row>
    <row r="25" spans="1:19" x14ac:dyDescent="0.3">
      <c r="A25">
        <v>11320274</v>
      </c>
      <c r="B25">
        <f t="shared" si="4"/>
        <v>9.0999999999999998E-2</v>
      </c>
      <c r="C25">
        <f t="shared" si="5"/>
        <v>2.0870000000000002</v>
      </c>
      <c r="D25">
        <v>-0.76</v>
      </c>
      <c r="E25">
        <v>0.17</v>
      </c>
      <c r="F25">
        <v>-0.63</v>
      </c>
      <c r="G25">
        <f t="shared" si="6"/>
        <v>0</v>
      </c>
      <c r="H25">
        <f t="shared" si="7"/>
        <v>9.9999999999999811E-3</v>
      </c>
      <c r="I25">
        <f t="shared" si="8"/>
        <v>0</v>
      </c>
      <c r="J25">
        <f t="shared" si="0"/>
        <v>0</v>
      </c>
      <c r="K25">
        <f t="shared" si="1"/>
        <v>0</v>
      </c>
      <c r="L25">
        <f t="shared" si="2"/>
        <v>0</v>
      </c>
      <c r="M25">
        <f t="shared" si="9"/>
        <v>0</v>
      </c>
      <c r="N25">
        <f t="shared" si="10"/>
        <v>0</v>
      </c>
      <c r="O25">
        <f t="shared" si="11"/>
        <v>0</v>
      </c>
      <c r="P25">
        <v>0</v>
      </c>
      <c r="R25">
        <v>2.0870000000000002</v>
      </c>
      <c r="S25">
        <f t="shared" si="3"/>
        <v>0</v>
      </c>
    </row>
    <row r="26" spans="1:19" x14ac:dyDescent="0.3">
      <c r="A26">
        <v>11320366</v>
      </c>
      <c r="B26">
        <f t="shared" si="4"/>
        <v>9.1999999999999998E-2</v>
      </c>
      <c r="C26">
        <f t="shared" si="5"/>
        <v>2.1789999999999998</v>
      </c>
      <c r="D26">
        <v>-0.76</v>
      </c>
      <c r="E26">
        <v>0.18</v>
      </c>
      <c r="F26">
        <v>-0.63</v>
      </c>
      <c r="G26">
        <f t="shared" si="6"/>
        <v>0</v>
      </c>
      <c r="H26">
        <f t="shared" si="7"/>
        <v>9.9999999999999811E-3</v>
      </c>
      <c r="I26">
        <f t="shared" si="8"/>
        <v>0</v>
      </c>
      <c r="J26">
        <f t="shared" si="0"/>
        <v>0</v>
      </c>
      <c r="K26">
        <f t="shared" si="1"/>
        <v>0</v>
      </c>
      <c r="L26">
        <f t="shared" si="2"/>
        <v>0</v>
      </c>
      <c r="M26">
        <f t="shared" si="9"/>
        <v>0</v>
      </c>
      <c r="N26">
        <f t="shared" si="10"/>
        <v>0</v>
      </c>
      <c r="O26">
        <f t="shared" si="11"/>
        <v>0</v>
      </c>
      <c r="P26">
        <v>0</v>
      </c>
      <c r="R26">
        <v>2.1789999999999998</v>
      </c>
      <c r="S26">
        <f t="shared" si="3"/>
        <v>0</v>
      </c>
    </row>
    <row r="27" spans="1:19" x14ac:dyDescent="0.3">
      <c r="A27">
        <v>11320456</v>
      </c>
      <c r="B27">
        <f t="shared" si="4"/>
        <v>0.09</v>
      </c>
      <c r="C27">
        <f t="shared" si="5"/>
        <v>2.2690000000000001</v>
      </c>
      <c r="D27">
        <v>-0.76</v>
      </c>
      <c r="E27">
        <v>0.18</v>
      </c>
      <c r="F27">
        <v>-0.62</v>
      </c>
      <c r="G27">
        <f t="shared" si="6"/>
        <v>0</v>
      </c>
      <c r="H27">
        <f t="shared" si="7"/>
        <v>0</v>
      </c>
      <c r="I27">
        <f t="shared" si="8"/>
        <v>1.0000000000000009E-2</v>
      </c>
      <c r="J27">
        <f t="shared" si="0"/>
        <v>0</v>
      </c>
      <c r="K27">
        <f t="shared" si="1"/>
        <v>0</v>
      </c>
      <c r="L27">
        <f t="shared" si="2"/>
        <v>0</v>
      </c>
      <c r="M27">
        <f t="shared" si="9"/>
        <v>0</v>
      </c>
      <c r="N27">
        <f t="shared" si="10"/>
        <v>0</v>
      </c>
      <c r="O27">
        <f t="shared" si="11"/>
        <v>0</v>
      </c>
      <c r="P27">
        <v>0</v>
      </c>
      <c r="R27">
        <v>2.2690000000000001</v>
      </c>
      <c r="S27">
        <f t="shared" si="3"/>
        <v>0</v>
      </c>
    </row>
    <row r="28" spans="1:19" x14ac:dyDescent="0.3">
      <c r="A28">
        <v>11320547</v>
      </c>
      <c r="B28">
        <f t="shared" si="4"/>
        <v>9.0999999999999998E-2</v>
      </c>
      <c r="C28">
        <f t="shared" si="5"/>
        <v>2.36</v>
      </c>
      <c r="D28">
        <v>-0.76</v>
      </c>
      <c r="E28">
        <v>0.18</v>
      </c>
      <c r="F28">
        <v>-0.63</v>
      </c>
      <c r="G28">
        <f t="shared" si="6"/>
        <v>0</v>
      </c>
      <c r="H28">
        <f t="shared" si="7"/>
        <v>0</v>
      </c>
      <c r="I28">
        <f t="shared" si="8"/>
        <v>1.0000000000000009E-2</v>
      </c>
      <c r="J28">
        <f t="shared" si="0"/>
        <v>0</v>
      </c>
      <c r="K28">
        <f t="shared" si="1"/>
        <v>0</v>
      </c>
      <c r="L28">
        <f t="shared" si="2"/>
        <v>0</v>
      </c>
      <c r="M28">
        <f t="shared" si="9"/>
        <v>0</v>
      </c>
      <c r="N28">
        <f t="shared" si="10"/>
        <v>0</v>
      </c>
      <c r="O28">
        <f t="shared" si="11"/>
        <v>0</v>
      </c>
      <c r="P28">
        <v>-0.2099999999999973</v>
      </c>
      <c r="R28">
        <v>2.36</v>
      </c>
      <c r="S28">
        <f t="shared" si="3"/>
        <v>0</v>
      </c>
    </row>
    <row r="29" spans="1:19" x14ac:dyDescent="0.3">
      <c r="A29">
        <v>11320638</v>
      </c>
      <c r="B29">
        <f t="shared" si="4"/>
        <v>9.0999999999999998E-2</v>
      </c>
      <c r="C29">
        <f t="shared" si="5"/>
        <v>2.4510000000000001</v>
      </c>
      <c r="D29">
        <v>-0.76</v>
      </c>
      <c r="E29">
        <v>0.18</v>
      </c>
      <c r="F29">
        <v>-0.63</v>
      </c>
      <c r="G29">
        <f t="shared" si="6"/>
        <v>0</v>
      </c>
      <c r="H29">
        <f t="shared" si="7"/>
        <v>0</v>
      </c>
      <c r="I29">
        <f t="shared" si="8"/>
        <v>0</v>
      </c>
      <c r="J29">
        <f t="shared" si="0"/>
        <v>0</v>
      </c>
      <c r="K29">
        <f t="shared" si="1"/>
        <v>0</v>
      </c>
      <c r="L29">
        <f t="shared" si="2"/>
        <v>0</v>
      </c>
      <c r="M29">
        <f t="shared" si="9"/>
        <v>0</v>
      </c>
      <c r="N29">
        <f t="shared" si="10"/>
        <v>0</v>
      </c>
      <c r="O29">
        <f t="shared" si="11"/>
        <v>0</v>
      </c>
      <c r="P29">
        <v>0.42000000000000171</v>
      </c>
      <c r="R29">
        <v>2.4510000000000001</v>
      </c>
      <c r="S29">
        <f t="shared" si="3"/>
        <v>0</v>
      </c>
    </row>
    <row r="30" spans="1:19" x14ac:dyDescent="0.3">
      <c r="A30">
        <v>11320728</v>
      </c>
      <c r="B30">
        <f t="shared" si="4"/>
        <v>0.09</v>
      </c>
      <c r="C30">
        <f t="shared" si="5"/>
        <v>2.5409999999999999</v>
      </c>
      <c r="D30">
        <v>-0.76</v>
      </c>
      <c r="E30">
        <v>0.18</v>
      </c>
      <c r="F30">
        <v>-0.62</v>
      </c>
      <c r="G30">
        <f t="shared" si="6"/>
        <v>0</v>
      </c>
      <c r="H30">
        <f t="shared" si="7"/>
        <v>0</v>
      </c>
      <c r="I30">
        <f t="shared" si="8"/>
        <v>1.0000000000000009E-2</v>
      </c>
      <c r="J30">
        <f t="shared" si="0"/>
        <v>0</v>
      </c>
      <c r="K30">
        <f t="shared" si="1"/>
        <v>0</v>
      </c>
      <c r="L30">
        <f t="shared" si="2"/>
        <v>0</v>
      </c>
      <c r="M30">
        <f t="shared" si="9"/>
        <v>0</v>
      </c>
      <c r="N30">
        <f t="shared" si="10"/>
        <v>0</v>
      </c>
      <c r="O30">
        <f t="shared" si="11"/>
        <v>0</v>
      </c>
      <c r="P30">
        <v>0</v>
      </c>
      <c r="R30">
        <v>2.5409999999999999</v>
      </c>
      <c r="S30">
        <f t="shared" si="3"/>
        <v>0</v>
      </c>
    </row>
    <row r="31" spans="1:19" x14ac:dyDescent="0.3">
      <c r="A31">
        <v>11320819</v>
      </c>
      <c r="B31">
        <f t="shared" si="4"/>
        <v>9.0999999999999998E-2</v>
      </c>
      <c r="C31">
        <f t="shared" si="5"/>
        <v>2.6320000000000001</v>
      </c>
      <c r="D31">
        <v>-0.76</v>
      </c>
      <c r="E31">
        <v>0.18</v>
      </c>
      <c r="F31">
        <v>-0.62</v>
      </c>
      <c r="G31">
        <f t="shared" si="6"/>
        <v>0</v>
      </c>
      <c r="H31">
        <f t="shared" si="7"/>
        <v>0</v>
      </c>
      <c r="I31">
        <f t="shared" si="8"/>
        <v>0</v>
      </c>
      <c r="J31">
        <f t="shared" si="0"/>
        <v>0</v>
      </c>
      <c r="K31">
        <f t="shared" si="1"/>
        <v>0</v>
      </c>
      <c r="L31">
        <f t="shared" si="2"/>
        <v>0</v>
      </c>
      <c r="M31">
        <f t="shared" si="9"/>
        <v>0</v>
      </c>
      <c r="N31">
        <f t="shared" si="10"/>
        <v>0</v>
      </c>
      <c r="O31">
        <f t="shared" si="11"/>
        <v>0</v>
      </c>
      <c r="P31">
        <v>0.42000000000000171</v>
      </c>
      <c r="R31">
        <v>2.6320000000000001</v>
      </c>
      <c r="S31">
        <f t="shared" si="3"/>
        <v>0</v>
      </c>
    </row>
    <row r="32" spans="1:19" x14ac:dyDescent="0.3">
      <c r="A32">
        <v>11320910</v>
      </c>
      <c r="B32">
        <f t="shared" si="4"/>
        <v>9.0999999999999998E-2</v>
      </c>
      <c r="C32">
        <f t="shared" si="5"/>
        <v>2.7229999999999999</v>
      </c>
      <c r="D32">
        <v>-0.76</v>
      </c>
      <c r="E32">
        <v>0.18</v>
      </c>
      <c r="F32">
        <v>-0.62</v>
      </c>
      <c r="G32">
        <f t="shared" si="6"/>
        <v>0</v>
      </c>
      <c r="H32">
        <f t="shared" si="7"/>
        <v>0</v>
      </c>
      <c r="I32">
        <f t="shared" si="8"/>
        <v>0</v>
      </c>
      <c r="J32">
        <f t="shared" si="0"/>
        <v>0</v>
      </c>
      <c r="K32">
        <f t="shared" si="1"/>
        <v>0</v>
      </c>
      <c r="L32">
        <f t="shared" si="2"/>
        <v>0</v>
      </c>
      <c r="M32">
        <f t="shared" si="9"/>
        <v>0</v>
      </c>
      <c r="N32">
        <f t="shared" si="10"/>
        <v>0</v>
      </c>
      <c r="O32">
        <f t="shared" si="11"/>
        <v>0</v>
      </c>
      <c r="P32">
        <v>0</v>
      </c>
      <c r="R32">
        <v>2.7229999999999999</v>
      </c>
      <c r="S32">
        <f t="shared" si="3"/>
        <v>0</v>
      </c>
    </row>
    <row r="33" spans="1:19" x14ac:dyDescent="0.3">
      <c r="A33">
        <v>11321000</v>
      </c>
      <c r="B33">
        <f t="shared" si="4"/>
        <v>0.09</v>
      </c>
      <c r="C33">
        <f t="shared" si="5"/>
        <v>2.8130000000000002</v>
      </c>
      <c r="D33">
        <v>-0.77</v>
      </c>
      <c r="E33">
        <v>0.18</v>
      </c>
      <c r="F33">
        <v>-0.62</v>
      </c>
      <c r="G33">
        <f t="shared" si="6"/>
        <v>1.0000000000000009E-2</v>
      </c>
      <c r="H33">
        <f t="shared" si="7"/>
        <v>0</v>
      </c>
      <c r="I33">
        <f t="shared" si="8"/>
        <v>0</v>
      </c>
      <c r="J33">
        <f t="shared" si="0"/>
        <v>0</v>
      </c>
      <c r="K33">
        <f t="shared" si="1"/>
        <v>0</v>
      </c>
      <c r="L33">
        <f t="shared" si="2"/>
        <v>0</v>
      </c>
      <c r="M33">
        <f t="shared" si="9"/>
        <v>0</v>
      </c>
      <c r="N33">
        <f t="shared" si="10"/>
        <v>0</v>
      </c>
      <c r="O33">
        <f t="shared" si="11"/>
        <v>0</v>
      </c>
      <c r="P33">
        <v>0.42000000000000171</v>
      </c>
      <c r="R33">
        <v>2.8130000000000002</v>
      </c>
      <c r="S33">
        <f t="shared" si="3"/>
        <v>0</v>
      </c>
    </row>
    <row r="34" spans="1:19" x14ac:dyDescent="0.3">
      <c r="A34">
        <v>11321092</v>
      </c>
      <c r="B34">
        <f t="shared" si="4"/>
        <v>9.1999999999999998E-2</v>
      </c>
      <c r="C34">
        <f t="shared" si="5"/>
        <v>2.9049999999999998</v>
      </c>
      <c r="D34">
        <v>-0.76</v>
      </c>
      <c r="E34">
        <v>0.18</v>
      </c>
      <c r="F34">
        <v>-0.63</v>
      </c>
      <c r="G34">
        <f t="shared" si="6"/>
        <v>1.0000000000000009E-2</v>
      </c>
      <c r="H34">
        <f t="shared" si="7"/>
        <v>0</v>
      </c>
      <c r="I34">
        <f t="shared" si="8"/>
        <v>1.0000000000000009E-2</v>
      </c>
      <c r="J34">
        <f t="shared" si="0"/>
        <v>0</v>
      </c>
      <c r="K34">
        <f t="shared" si="1"/>
        <v>0</v>
      </c>
      <c r="L34">
        <f t="shared" si="2"/>
        <v>0</v>
      </c>
      <c r="M34">
        <f t="shared" si="9"/>
        <v>0</v>
      </c>
      <c r="N34">
        <f t="shared" si="10"/>
        <v>0</v>
      </c>
      <c r="O34">
        <f t="shared" si="11"/>
        <v>0</v>
      </c>
      <c r="P34">
        <v>0.42000000000000171</v>
      </c>
      <c r="R34">
        <v>2.9049999999999998</v>
      </c>
      <c r="S34">
        <f t="shared" si="3"/>
        <v>0</v>
      </c>
    </row>
    <row r="35" spans="1:19" x14ac:dyDescent="0.3">
      <c r="A35">
        <v>11321183</v>
      </c>
      <c r="B35">
        <f t="shared" si="4"/>
        <v>9.0999999999999998E-2</v>
      </c>
      <c r="C35">
        <f t="shared" si="5"/>
        <v>2.996</v>
      </c>
      <c r="D35">
        <v>-0.76</v>
      </c>
      <c r="E35">
        <v>0.18</v>
      </c>
      <c r="F35">
        <v>-0.63</v>
      </c>
      <c r="G35">
        <f t="shared" si="6"/>
        <v>0</v>
      </c>
      <c r="H35">
        <f t="shared" si="7"/>
        <v>0</v>
      </c>
      <c r="I35">
        <f t="shared" si="8"/>
        <v>0</v>
      </c>
      <c r="J35">
        <f t="shared" si="0"/>
        <v>0</v>
      </c>
      <c r="K35">
        <f t="shared" si="1"/>
        <v>0</v>
      </c>
      <c r="L35">
        <f t="shared" si="2"/>
        <v>0</v>
      </c>
      <c r="M35">
        <f t="shared" si="9"/>
        <v>0</v>
      </c>
      <c r="N35">
        <f t="shared" si="10"/>
        <v>0</v>
      </c>
      <c r="O35">
        <f t="shared" si="11"/>
        <v>0</v>
      </c>
      <c r="P35">
        <v>0.42000000000000171</v>
      </c>
      <c r="R35">
        <v>2.996</v>
      </c>
      <c r="S35">
        <f t="shared" si="3"/>
        <v>0</v>
      </c>
    </row>
    <row r="36" spans="1:19" x14ac:dyDescent="0.3">
      <c r="A36">
        <v>11321273</v>
      </c>
      <c r="B36">
        <f t="shared" si="4"/>
        <v>0.09</v>
      </c>
      <c r="C36">
        <f t="shared" si="5"/>
        <v>3.0859999999999999</v>
      </c>
      <c r="D36">
        <v>-0.77</v>
      </c>
      <c r="E36">
        <v>0.17</v>
      </c>
      <c r="F36">
        <v>-0.61</v>
      </c>
      <c r="G36">
        <f t="shared" si="6"/>
        <v>1.0000000000000009E-2</v>
      </c>
      <c r="H36">
        <f t="shared" si="7"/>
        <v>9.9999999999999811E-3</v>
      </c>
      <c r="I36">
        <f t="shared" si="8"/>
        <v>2.0000000000000018E-2</v>
      </c>
      <c r="J36">
        <f t="shared" si="0"/>
        <v>0</v>
      </c>
      <c r="K36">
        <f t="shared" si="1"/>
        <v>0</v>
      </c>
      <c r="L36">
        <f t="shared" si="2"/>
        <v>0</v>
      </c>
      <c r="M36">
        <f t="shared" si="9"/>
        <v>0</v>
      </c>
      <c r="N36">
        <f t="shared" si="10"/>
        <v>0</v>
      </c>
      <c r="O36">
        <f t="shared" si="11"/>
        <v>0</v>
      </c>
      <c r="P36">
        <v>0</v>
      </c>
      <c r="R36">
        <v>3.0859999999999999</v>
      </c>
      <c r="S36">
        <f t="shared" si="3"/>
        <v>0</v>
      </c>
    </row>
    <row r="37" spans="1:19" x14ac:dyDescent="0.3">
      <c r="A37">
        <v>11321364</v>
      </c>
      <c r="B37">
        <f t="shared" si="4"/>
        <v>9.0999999999999998E-2</v>
      </c>
      <c r="C37">
        <f t="shared" si="5"/>
        <v>3.177</v>
      </c>
      <c r="D37">
        <v>-0.77</v>
      </c>
      <c r="E37">
        <v>0.18</v>
      </c>
      <c r="F37">
        <v>-0.63</v>
      </c>
      <c r="G37">
        <f t="shared" si="6"/>
        <v>0</v>
      </c>
      <c r="H37">
        <f t="shared" si="7"/>
        <v>9.9999999999999811E-3</v>
      </c>
      <c r="I37">
        <f t="shared" si="8"/>
        <v>2.0000000000000018E-2</v>
      </c>
      <c r="J37">
        <f t="shared" si="0"/>
        <v>0</v>
      </c>
      <c r="K37">
        <f t="shared" si="1"/>
        <v>0</v>
      </c>
      <c r="L37">
        <f t="shared" si="2"/>
        <v>0</v>
      </c>
      <c r="M37">
        <f t="shared" si="9"/>
        <v>0</v>
      </c>
      <c r="N37">
        <f t="shared" si="10"/>
        <v>0</v>
      </c>
      <c r="O37">
        <f t="shared" si="11"/>
        <v>0</v>
      </c>
      <c r="P37">
        <v>-0.2099999999999973</v>
      </c>
      <c r="R37">
        <v>3.177</v>
      </c>
      <c r="S37">
        <f t="shared" si="3"/>
        <v>0</v>
      </c>
    </row>
    <row r="38" spans="1:19" x14ac:dyDescent="0.3">
      <c r="A38">
        <v>11321455</v>
      </c>
      <c r="B38">
        <f t="shared" si="4"/>
        <v>9.0999999999999998E-2</v>
      </c>
      <c r="C38">
        <f t="shared" si="5"/>
        <v>3.2679999999999998</v>
      </c>
      <c r="D38">
        <v>-0.76</v>
      </c>
      <c r="E38">
        <v>0.18</v>
      </c>
      <c r="F38">
        <v>-0.62</v>
      </c>
      <c r="G38">
        <f t="shared" si="6"/>
        <v>1.0000000000000009E-2</v>
      </c>
      <c r="H38">
        <f t="shared" si="7"/>
        <v>0</v>
      </c>
      <c r="I38">
        <f t="shared" si="8"/>
        <v>1.0000000000000009E-2</v>
      </c>
      <c r="J38">
        <f t="shared" si="0"/>
        <v>0</v>
      </c>
      <c r="K38">
        <f t="shared" si="1"/>
        <v>0</v>
      </c>
      <c r="L38">
        <f t="shared" si="2"/>
        <v>0</v>
      </c>
      <c r="M38">
        <f t="shared" si="9"/>
        <v>0</v>
      </c>
      <c r="N38">
        <f t="shared" si="10"/>
        <v>0</v>
      </c>
      <c r="O38">
        <f t="shared" si="11"/>
        <v>0</v>
      </c>
      <c r="P38">
        <v>0.21000000000000085</v>
      </c>
      <c r="R38">
        <v>3.2679999999999998</v>
      </c>
      <c r="S38">
        <f t="shared" si="3"/>
        <v>0</v>
      </c>
    </row>
    <row r="39" spans="1:19" x14ac:dyDescent="0.3">
      <c r="A39">
        <v>11321545</v>
      </c>
      <c r="B39">
        <f t="shared" si="4"/>
        <v>0.09</v>
      </c>
      <c r="C39">
        <f t="shared" si="5"/>
        <v>3.3580000000000001</v>
      </c>
      <c r="D39">
        <v>-0.76</v>
      </c>
      <c r="E39">
        <v>0.18</v>
      </c>
      <c r="F39">
        <v>-0.62</v>
      </c>
      <c r="G39">
        <f t="shared" si="6"/>
        <v>0</v>
      </c>
      <c r="H39">
        <f t="shared" si="7"/>
        <v>0</v>
      </c>
      <c r="I39">
        <f t="shared" si="8"/>
        <v>0</v>
      </c>
      <c r="J39">
        <f t="shared" si="0"/>
        <v>0</v>
      </c>
      <c r="K39">
        <f t="shared" si="1"/>
        <v>0</v>
      </c>
      <c r="L39">
        <f t="shared" si="2"/>
        <v>0</v>
      </c>
      <c r="M39">
        <f t="shared" si="9"/>
        <v>0</v>
      </c>
      <c r="N39">
        <f t="shared" si="10"/>
        <v>0</v>
      </c>
      <c r="O39">
        <f t="shared" si="11"/>
        <v>0</v>
      </c>
      <c r="P39">
        <v>0</v>
      </c>
      <c r="R39">
        <v>3.3580000000000001</v>
      </c>
      <c r="S39">
        <f t="shared" si="3"/>
        <v>0</v>
      </c>
    </row>
    <row r="40" spans="1:19" x14ac:dyDescent="0.3">
      <c r="A40">
        <v>11321636</v>
      </c>
      <c r="B40">
        <f t="shared" si="4"/>
        <v>9.0999999999999998E-2</v>
      </c>
      <c r="C40">
        <f t="shared" si="5"/>
        <v>3.4489999999999998</v>
      </c>
      <c r="D40">
        <v>-0.76</v>
      </c>
      <c r="E40">
        <v>0.18</v>
      </c>
      <c r="F40">
        <v>-0.62</v>
      </c>
      <c r="G40">
        <f t="shared" si="6"/>
        <v>0</v>
      </c>
      <c r="H40">
        <f t="shared" si="7"/>
        <v>0</v>
      </c>
      <c r="I40">
        <f t="shared" si="8"/>
        <v>0</v>
      </c>
      <c r="J40">
        <f t="shared" si="0"/>
        <v>0</v>
      </c>
      <c r="K40">
        <f t="shared" si="1"/>
        <v>0</v>
      </c>
      <c r="L40">
        <f t="shared" si="2"/>
        <v>0</v>
      </c>
      <c r="M40">
        <f t="shared" si="9"/>
        <v>0</v>
      </c>
      <c r="N40">
        <f t="shared" si="10"/>
        <v>0</v>
      </c>
      <c r="O40">
        <f t="shared" si="11"/>
        <v>0</v>
      </c>
      <c r="P40">
        <v>0.42000000000000171</v>
      </c>
      <c r="R40">
        <v>3.4489999999999998</v>
      </c>
      <c r="S40">
        <f t="shared" si="3"/>
        <v>0</v>
      </c>
    </row>
    <row r="41" spans="1:19" x14ac:dyDescent="0.3">
      <c r="A41">
        <v>11321728</v>
      </c>
      <c r="B41">
        <f t="shared" si="4"/>
        <v>9.1999999999999998E-2</v>
      </c>
      <c r="C41">
        <f t="shared" si="5"/>
        <v>3.5409999999999999</v>
      </c>
      <c r="D41">
        <v>-0.76</v>
      </c>
      <c r="E41">
        <v>0.18</v>
      </c>
      <c r="F41">
        <v>-0.63</v>
      </c>
      <c r="G41">
        <f t="shared" si="6"/>
        <v>0</v>
      </c>
      <c r="H41">
        <f t="shared" si="7"/>
        <v>0</v>
      </c>
      <c r="I41">
        <f t="shared" si="8"/>
        <v>1.0000000000000009E-2</v>
      </c>
      <c r="J41">
        <f t="shared" si="0"/>
        <v>0</v>
      </c>
      <c r="K41">
        <f t="shared" si="1"/>
        <v>0</v>
      </c>
      <c r="L41">
        <f t="shared" si="2"/>
        <v>0</v>
      </c>
      <c r="M41">
        <f t="shared" si="9"/>
        <v>0</v>
      </c>
      <c r="N41">
        <f t="shared" si="10"/>
        <v>0</v>
      </c>
      <c r="O41">
        <f t="shared" si="11"/>
        <v>0</v>
      </c>
      <c r="P41">
        <v>0</v>
      </c>
      <c r="R41">
        <v>3.5409999999999999</v>
      </c>
      <c r="S41">
        <f t="shared" si="3"/>
        <v>0</v>
      </c>
    </row>
    <row r="42" spans="1:19" x14ac:dyDescent="0.3">
      <c r="A42">
        <v>11321818</v>
      </c>
      <c r="B42">
        <f t="shared" si="4"/>
        <v>0.09</v>
      </c>
      <c r="C42">
        <f t="shared" si="5"/>
        <v>3.6309999999999998</v>
      </c>
      <c r="D42">
        <v>-0.76</v>
      </c>
      <c r="E42">
        <v>0.18</v>
      </c>
      <c r="F42">
        <v>-0.62</v>
      </c>
      <c r="G42">
        <f t="shared" si="6"/>
        <v>0</v>
      </c>
      <c r="H42">
        <f t="shared" si="7"/>
        <v>0</v>
      </c>
      <c r="I42">
        <f t="shared" si="8"/>
        <v>1.0000000000000009E-2</v>
      </c>
      <c r="J42">
        <f t="shared" si="0"/>
        <v>0</v>
      </c>
      <c r="K42">
        <f t="shared" si="1"/>
        <v>0</v>
      </c>
      <c r="L42">
        <f t="shared" si="2"/>
        <v>0</v>
      </c>
      <c r="M42">
        <f t="shared" si="9"/>
        <v>0</v>
      </c>
      <c r="N42">
        <f t="shared" si="10"/>
        <v>0</v>
      </c>
      <c r="O42">
        <f t="shared" si="11"/>
        <v>0</v>
      </c>
      <c r="P42">
        <v>0.21000000000000085</v>
      </c>
      <c r="R42">
        <v>3.6309999999999998</v>
      </c>
      <c r="S42">
        <f t="shared" si="3"/>
        <v>0</v>
      </c>
    </row>
    <row r="43" spans="1:19" x14ac:dyDescent="0.3">
      <c r="A43">
        <v>11321909</v>
      </c>
      <c r="B43">
        <f t="shared" si="4"/>
        <v>9.0999999999999998E-2</v>
      </c>
      <c r="C43">
        <f t="shared" si="5"/>
        <v>3.722</v>
      </c>
      <c r="D43">
        <v>-0.76</v>
      </c>
      <c r="E43">
        <v>0.17</v>
      </c>
      <c r="F43">
        <v>-0.62</v>
      </c>
      <c r="G43">
        <f t="shared" si="6"/>
        <v>0</v>
      </c>
      <c r="H43">
        <f t="shared" si="7"/>
        <v>9.9999999999999811E-3</v>
      </c>
      <c r="I43">
        <f t="shared" si="8"/>
        <v>0</v>
      </c>
      <c r="J43">
        <f t="shared" si="0"/>
        <v>0</v>
      </c>
      <c r="K43">
        <f t="shared" si="1"/>
        <v>0</v>
      </c>
      <c r="L43">
        <f t="shared" si="2"/>
        <v>0</v>
      </c>
      <c r="M43">
        <f t="shared" si="9"/>
        <v>0</v>
      </c>
      <c r="N43">
        <f t="shared" si="10"/>
        <v>0</v>
      </c>
      <c r="O43">
        <f t="shared" si="11"/>
        <v>0</v>
      </c>
      <c r="P43">
        <v>0.21000000000000085</v>
      </c>
      <c r="R43">
        <v>3.722</v>
      </c>
      <c r="S43">
        <f t="shared" si="3"/>
        <v>0</v>
      </c>
    </row>
    <row r="44" spans="1:19" x14ac:dyDescent="0.3">
      <c r="A44">
        <v>11322000</v>
      </c>
      <c r="B44">
        <f t="shared" si="4"/>
        <v>9.0999999999999998E-2</v>
      </c>
      <c r="C44">
        <f t="shared" si="5"/>
        <v>3.8130000000000002</v>
      </c>
      <c r="D44">
        <v>-0.76</v>
      </c>
      <c r="E44">
        <v>0.18</v>
      </c>
      <c r="F44">
        <v>-0.62</v>
      </c>
      <c r="G44">
        <f t="shared" si="6"/>
        <v>0</v>
      </c>
      <c r="H44">
        <f t="shared" si="7"/>
        <v>9.9999999999999811E-3</v>
      </c>
      <c r="I44">
        <f t="shared" si="8"/>
        <v>0</v>
      </c>
      <c r="J44">
        <f t="shared" si="0"/>
        <v>0</v>
      </c>
      <c r="K44">
        <f t="shared" si="1"/>
        <v>0</v>
      </c>
      <c r="L44">
        <f t="shared" si="2"/>
        <v>0</v>
      </c>
      <c r="M44">
        <f t="shared" si="9"/>
        <v>0</v>
      </c>
      <c r="N44">
        <f t="shared" si="10"/>
        <v>0</v>
      </c>
      <c r="O44">
        <f t="shared" si="11"/>
        <v>0</v>
      </c>
      <c r="P44">
        <v>0</v>
      </c>
      <c r="R44">
        <v>3.8130000000000002</v>
      </c>
      <c r="S44">
        <f t="shared" si="3"/>
        <v>0</v>
      </c>
    </row>
    <row r="45" spans="1:19" x14ac:dyDescent="0.3">
      <c r="A45">
        <v>11322090</v>
      </c>
      <c r="B45">
        <f t="shared" si="4"/>
        <v>0.09</v>
      </c>
      <c r="C45">
        <f t="shared" si="5"/>
        <v>3.903</v>
      </c>
      <c r="D45">
        <v>-0.76</v>
      </c>
      <c r="E45">
        <v>0.18</v>
      </c>
      <c r="F45">
        <v>-0.62</v>
      </c>
      <c r="G45">
        <f t="shared" si="6"/>
        <v>0</v>
      </c>
      <c r="H45">
        <f t="shared" si="7"/>
        <v>0</v>
      </c>
      <c r="I45">
        <f t="shared" si="8"/>
        <v>0</v>
      </c>
      <c r="J45">
        <f t="shared" si="0"/>
        <v>0</v>
      </c>
      <c r="K45">
        <f t="shared" si="1"/>
        <v>0</v>
      </c>
      <c r="L45">
        <f t="shared" si="2"/>
        <v>0</v>
      </c>
      <c r="M45">
        <f t="shared" si="9"/>
        <v>0</v>
      </c>
      <c r="N45">
        <f t="shared" si="10"/>
        <v>0</v>
      </c>
      <c r="O45">
        <f t="shared" si="11"/>
        <v>0</v>
      </c>
      <c r="P45">
        <v>0.21000000000000085</v>
      </c>
      <c r="R45">
        <v>3.903</v>
      </c>
      <c r="S45">
        <f t="shared" si="3"/>
        <v>0</v>
      </c>
    </row>
    <row r="46" spans="1:19" x14ac:dyDescent="0.3">
      <c r="A46">
        <v>11322181</v>
      </c>
      <c r="B46">
        <f t="shared" si="4"/>
        <v>9.0999999999999998E-2</v>
      </c>
      <c r="C46">
        <f t="shared" si="5"/>
        <v>3.9940000000000002</v>
      </c>
      <c r="D46">
        <v>-0.76</v>
      </c>
      <c r="E46">
        <v>0.18</v>
      </c>
      <c r="F46">
        <v>-0.62</v>
      </c>
      <c r="G46">
        <f t="shared" si="6"/>
        <v>0</v>
      </c>
      <c r="H46">
        <f t="shared" si="7"/>
        <v>0</v>
      </c>
      <c r="I46">
        <f t="shared" si="8"/>
        <v>0</v>
      </c>
      <c r="J46">
        <f t="shared" si="0"/>
        <v>0</v>
      </c>
      <c r="K46">
        <f t="shared" si="1"/>
        <v>0</v>
      </c>
      <c r="L46">
        <f t="shared" si="2"/>
        <v>0</v>
      </c>
      <c r="M46">
        <f t="shared" si="9"/>
        <v>0</v>
      </c>
      <c r="N46">
        <f t="shared" si="10"/>
        <v>0</v>
      </c>
      <c r="O46">
        <f t="shared" si="11"/>
        <v>0</v>
      </c>
      <c r="P46">
        <v>0</v>
      </c>
      <c r="R46">
        <v>3.9940000000000002</v>
      </c>
      <c r="S46">
        <f t="shared" si="3"/>
        <v>0</v>
      </c>
    </row>
    <row r="47" spans="1:19" x14ac:dyDescent="0.3">
      <c r="A47">
        <v>11322272</v>
      </c>
      <c r="B47">
        <f t="shared" si="4"/>
        <v>9.0999999999999998E-2</v>
      </c>
      <c r="C47">
        <f t="shared" si="5"/>
        <v>4.085</v>
      </c>
      <c r="D47">
        <v>-0.76</v>
      </c>
      <c r="E47">
        <v>0.17</v>
      </c>
      <c r="F47">
        <v>-0.63</v>
      </c>
      <c r="G47">
        <f t="shared" si="6"/>
        <v>0</v>
      </c>
      <c r="H47">
        <f t="shared" si="7"/>
        <v>9.9999999999999811E-3</v>
      </c>
      <c r="I47">
        <f t="shared" si="8"/>
        <v>1.0000000000000009E-2</v>
      </c>
      <c r="J47">
        <f t="shared" si="0"/>
        <v>0</v>
      </c>
      <c r="K47">
        <f t="shared" si="1"/>
        <v>0</v>
      </c>
      <c r="L47">
        <f t="shared" si="2"/>
        <v>0</v>
      </c>
      <c r="M47">
        <f t="shared" si="9"/>
        <v>0</v>
      </c>
      <c r="N47">
        <f t="shared" si="10"/>
        <v>0</v>
      </c>
      <c r="O47">
        <f t="shared" si="11"/>
        <v>0</v>
      </c>
      <c r="P47">
        <v>0.42000000000000171</v>
      </c>
      <c r="R47">
        <v>4.085</v>
      </c>
      <c r="S47">
        <f t="shared" si="3"/>
        <v>0</v>
      </c>
    </row>
    <row r="48" spans="1:19" x14ac:dyDescent="0.3">
      <c r="A48">
        <v>11322362</v>
      </c>
      <c r="B48">
        <f t="shared" si="4"/>
        <v>0.09</v>
      </c>
      <c r="C48">
        <f t="shared" si="5"/>
        <v>4.1749999999999998</v>
      </c>
      <c r="D48">
        <v>-0.76</v>
      </c>
      <c r="E48">
        <v>0.18</v>
      </c>
      <c r="F48">
        <v>-0.62</v>
      </c>
      <c r="G48">
        <f t="shared" si="6"/>
        <v>0</v>
      </c>
      <c r="H48">
        <f t="shared" si="7"/>
        <v>9.9999999999999811E-3</v>
      </c>
      <c r="I48">
        <f t="shared" si="8"/>
        <v>1.0000000000000009E-2</v>
      </c>
      <c r="J48">
        <f t="shared" si="0"/>
        <v>0</v>
      </c>
      <c r="K48">
        <f t="shared" si="1"/>
        <v>0</v>
      </c>
      <c r="L48">
        <f t="shared" si="2"/>
        <v>0</v>
      </c>
      <c r="M48">
        <f t="shared" si="9"/>
        <v>0</v>
      </c>
      <c r="N48">
        <f t="shared" si="10"/>
        <v>0</v>
      </c>
      <c r="O48">
        <f t="shared" si="11"/>
        <v>0</v>
      </c>
      <c r="P48">
        <v>0.42000000000000171</v>
      </c>
      <c r="R48">
        <v>4.1749999999999998</v>
      </c>
      <c r="S48">
        <f t="shared" si="3"/>
        <v>0</v>
      </c>
    </row>
    <row r="49" spans="1:19" x14ac:dyDescent="0.3">
      <c r="A49">
        <v>11322454</v>
      </c>
      <c r="B49">
        <f t="shared" si="4"/>
        <v>9.1999999999999998E-2</v>
      </c>
      <c r="C49">
        <f t="shared" si="5"/>
        <v>4.2670000000000003</v>
      </c>
      <c r="D49">
        <v>-0.76</v>
      </c>
      <c r="E49">
        <v>0.17</v>
      </c>
      <c r="F49">
        <v>-0.63</v>
      </c>
      <c r="G49">
        <f t="shared" si="6"/>
        <v>0</v>
      </c>
      <c r="H49">
        <f t="shared" si="7"/>
        <v>9.9999999999999811E-3</v>
      </c>
      <c r="I49">
        <f t="shared" si="8"/>
        <v>1.0000000000000009E-2</v>
      </c>
      <c r="J49">
        <f t="shared" si="0"/>
        <v>0</v>
      </c>
      <c r="K49">
        <f t="shared" si="1"/>
        <v>0</v>
      </c>
      <c r="L49">
        <f t="shared" si="2"/>
        <v>0</v>
      </c>
      <c r="M49">
        <f t="shared" si="9"/>
        <v>0</v>
      </c>
      <c r="N49">
        <f t="shared" si="10"/>
        <v>0</v>
      </c>
      <c r="O49">
        <f t="shared" si="11"/>
        <v>0</v>
      </c>
      <c r="P49">
        <v>-0.2099999999999973</v>
      </c>
      <c r="R49">
        <v>4.2670000000000003</v>
      </c>
      <c r="S49">
        <f t="shared" si="3"/>
        <v>0</v>
      </c>
    </row>
    <row r="50" spans="1:19" x14ac:dyDescent="0.3">
      <c r="A50">
        <v>11322545</v>
      </c>
      <c r="B50">
        <f t="shared" si="4"/>
        <v>9.0999999999999998E-2</v>
      </c>
      <c r="C50">
        <f t="shared" si="5"/>
        <v>4.3579999999999997</v>
      </c>
      <c r="D50">
        <v>-0.76</v>
      </c>
      <c r="E50">
        <v>0.17</v>
      </c>
      <c r="F50">
        <v>-0.62</v>
      </c>
      <c r="G50">
        <f t="shared" si="6"/>
        <v>0</v>
      </c>
      <c r="H50">
        <f t="shared" si="7"/>
        <v>0</v>
      </c>
      <c r="I50">
        <f t="shared" si="8"/>
        <v>1.0000000000000009E-2</v>
      </c>
      <c r="J50">
        <f t="shared" si="0"/>
        <v>0</v>
      </c>
      <c r="K50">
        <f t="shared" si="1"/>
        <v>0</v>
      </c>
      <c r="L50">
        <f t="shared" si="2"/>
        <v>0</v>
      </c>
      <c r="M50">
        <f t="shared" si="9"/>
        <v>0</v>
      </c>
      <c r="N50">
        <f t="shared" si="10"/>
        <v>0</v>
      </c>
      <c r="O50">
        <f t="shared" si="11"/>
        <v>0</v>
      </c>
      <c r="P50">
        <v>0</v>
      </c>
      <c r="R50">
        <v>4.3579999999999997</v>
      </c>
      <c r="S50">
        <f t="shared" si="3"/>
        <v>0</v>
      </c>
    </row>
    <row r="51" spans="1:19" x14ac:dyDescent="0.3">
      <c r="A51">
        <v>11322635</v>
      </c>
      <c r="B51">
        <f t="shared" si="4"/>
        <v>0.09</v>
      </c>
      <c r="C51">
        <f t="shared" si="5"/>
        <v>4.4480000000000004</v>
      </c>
      <c r="D51">
        <v>-0.76</v>
      </c>
      <c r="E51">
        <v>0.18</v>
      </c>
      <c r="F51">
        <v>-0.62</v>
      </c>
      <c r="G51">
        <f t="shared" si="6"/>
        <v>0</v>
      </c>
      <c r="H51">
        <f t="shared" si="7"/>
        <v>9.9999999999999811E-3</v>
      </c>
      <c r="I51">
        <f t="shared" si="8"/>
        <v>0</v>
      </c>
      <c r="J51">
        <f t="shared" si="0"/>
        <v>0</v>
      </c>
      <c r="K51">
        <f t="shared" si="1"/>
        <v>0</v>
      </c>
      <c r="L51">
        <f t="shared" si="2"/>
        <v>0</v>
      </c>
      <c r="M51">
        <f t="shared" si="9"/>
        <v>0</v>
      </c>
      <c r="N51">
        <f t="shared" si="10"/>
        <v>0</v>
      </c>
      <c r="O51">
        <f t="shared" si="11"/>
        <v>0</v>
      </c>
      <c r="P51">
        <v>0.42000000000000171</v>
      </c>
      <c r="R51">
        <v>4.4480000000000004</v>
      </c>
      <c r="S51">
        <f t="shared" si="3"/>
        <v>0</v>
      </c>
    </row>
    <row r="52" spans="1:19" x14ac:dyDescent="0.3">
      <c r="A52">
        <v>11322726</v>
      </c>
      <c r="B52">
        <f t="shared" si="4"/>
        <v>9.0999999999999998E-2</v>
      </c>
      <c r="C52">
        <f t="shared" si="5"/>
        <v>4.5389999999999997</v>
      </c>
      <c r="D52">
        <v>-0.77</v>
      </c>
      <c r="E52">
        <v>0.17</v>
      </c>
      <c r="F52">
        <v>-0.62</v>
      </c>
      <c r="G52">
        <f t="shared" si="6"/>
        <v>1.0000000000000009E-2</v>
      </c>
      <c r="H52">
        <f t="shared" si="7"/>
        <v>9.9999999999999811E-3</v>
      </c>
      <c r="I52">
        <f t="shared" si="8"/>
        <v>0</v>
      </c>
      <c r="J52">
        <f t="shared" si="0"/>
        <v>0</v>
      </c>
      <c r="K52">
        <f t="shared" si="1"/>
        <v>0</v>
      </c>
      <c r="L52">
        <f t="shared" si="2"/>
        <v>0</v>
      </c>
      <c r="M52">
        <f t="shared" si="9"/>
        <v>0</v>
      </c>
      <c r="N52">
        <f t="shared" si="10"/>
        <v>0</v>
      </c>
      <c r="O52">
        <f t="shared" si="11"/>
        <v>0</v>
      </c>
      <c r="P52">
        <v>0.42000000000000171</v>
      </c>
      <c r="R52">
        <v>4.5389999999999997</v>
      </c>
      <c r="S52">
        <f t="shared" si="3"/>
        <v>0</v>
      </c>
    </row>
    <row r="53" spans="1:19" x14ac:dyDescent="0.3">
      <c r="A53">
        <v>11322817</v>
      </c>
      <c r="B53">
        <f t="shared" si="4"/>
        <v>9.0999999999999998E-2</v>
      </c>
      <c r="C53">
        <f t="shared" si="5"/>
        <v>4.63</v>
      </c>
      <c r="D53">
        <v>-0.77</v>
      </c>
      <c r="E53">
        <v>0.18</v>
      </c>
      <c r="F53">
        <v>-0.62</v>
      </c>
      <c r="G53">
        <f t="shared" si="6"/>
        <v>0</v>
      </c>
      <c r="H53">
        <f t="shared" si="7"/>
        <v>9.9999999999999811E-3</v>
      </c>
      <c r="I53">
        <f t="shared" si="8"/>
        <v>0</v>
      </c>
      <c r="J53">
        <f t="shared" si="0"/>
        <v>0</v>
      </c>
      <c r="K53">
        <f t="shared" si="1"/>
        <v>0</v>
      </c>
      <c r="L53">
        <f t="shared" si="2"/>
        <v>0</v>
      </c>
      <c r="M53">
        <f t="shared" si="9"/>
        <v>0</v>
      </c>
      <c r="N53">
        <f t="shared" si="10"/>
        <v>0</v>
      </c>
      <c r="O53">
        <f t="shared" si="11"/>
        <v>0</v>
      </c>
      <c r="P53">
        <v>0.42000000000000171</v>
      </c>
      <c r="R53">
        <v>4.63</v>
      </c>
      <c r="S53">
        <f t="shared" si="3"/>
        <v>0</v>
      </c>
    </row>
    <row r="54" spans="1:19" x14ac:dyDescent="0.3">
      <c r="A54">
        <v>11322907</v>
      </c>
      <c r="B54">
        <f t="shared" si="4"/>
        <v>0.09</v>
      </c>
      <c r="C54">
        <f t="shared" si="5"/>
        <v>4.72</v>
      </c>
      <c r="D54">
        <v>-0.76</v>
      </c>
      <c r="E54">
        <v>0.18</v>
      </c>
      <c r="F54">
        <v>-0.62</v>
      </c>
      <c r="G54">
        <f t="shared" si="6"/>
        <v>1.0000000000000009E-2</v>
      </c>
      <c r="H54">
        <f t="shared" si="7"/>
        <v>0</v>
      </c>
      <c r="I54">
        <f t="shared" si="8"/>
        <v>0</v>
      </c>
      <c r="J54">
        <f t="shared" si="0"/>
        <v>0</v>
      </c>
      <c r="K54">
        <f t="shared" si="1"/>
        <v>0</v>
      </c>
      <c r="L54">
        <f t="shared" si="2"/>
        <v>0</v>
      </c>
      <c r="M54">
        <f t="shared" si="9"/>
        <v>0</v>
      </c>
      <c r="N54">
        <f t="shared" si="10"/>
        <v>0</v>
      </c>
      <c r="O54">
        <f t="shared" si="11"/>
        <v>0</v>
      </c>
      <c r="P54">
        <v>0.42000000000000171</v>
      </c>
      <c r="R54">
        <v>4.72</v>
      </c>
      <c r="S54">
        <f t="shared" si="3"/>
        <v>0</v>
      </c>
    </row>
    <row r="55" spans="1:19" x14ac:dyDescent="0.3">
      <c r="A55">
        <v>11322998</v>
      </c>
      <c r="B55">
        <f t="shared" si="4"/>
        <v>9.0999999999999998E-2</v>
      </c>
      <c r="C55">
        <f t="shared" si="5"/>
        <v>4.8109999999999999</v>
      </c>
      <c r="D55">
        <v>-0.76</v>
      </c>
      <c r="E55">
        <v>0.18</v>
      </c>
      <c r="F55">
        <v>-0.62</v>
      </c>
      <c r="G55">
        <f t="shared" si="6"/>
        <v>0</v>
      </c>
      <c r="H55">
        <f t="shared" si="7"/>
        <v>0</v>
      </c>
      <c r="I55">
        <f t="shared" si="8"/>
        <v>0</v>
      </c>
      <c r="J55">
        <f t="shared" si="0"/>
        <v>0</v>
      </c>
      <c r="K55">
        <f t="shared" si="1"/>
        <v>0</v>
      </c>
      <c r="L55">
        <f t="shared" si="2"/>
        <v>0</v>
      </c>
      <c r="M55">
        <f t="shared" si="9"/>
        <v>0</v>
      </c>
      <c r="N55">
        <f t="shared" si="10"/>
        <v>0</v>
      </c>
      <c r="O55">
        <f t="shared" si="11"/>
        <v>0</v>
      </c>
      <c r="P55">
        <v>0.42000000000000171</v>
      </c>
      <c r="R55">
        <v>4.8109999999999999</v>
      </c>
      <c r="S55">
        <f t="shared" si="3"/>
        <v>0</v>
      </c>
    </row>
    <row r="56" spans="1:19" x14ac:dyDescent="0.3">
      <c r="A56">
        <v>11323089</v>
      </c>
      <c r="B56">
        <f t="shared" si="4"/>
        <v>9.0999999999999998E-2</v>
      </c>
      <c r="C56">
        <f t="shared" si="5"/>
        <v>4.9020000000000001</v>
      </c>
      <c r="D56">
        <v>-0.76</v>
      </c>
      <c r="E56">
        <v>0.18</v>
      </c>
      <c r="F56">
        <v>-0.62</v>
      </c>
      <c r="G56">
        <f t="shared" si="6"/>
        <v>0</v>
      </c>
      <c r="H56">
        <f t="shared" si="7"/>
        <v>0</v>
      </c>
      <c r="I56">
        <f t="shared" si="8"/>
        <v>0</v>
      </c>
      <c r="J56">
        <f t="shared" si="0"/>
        <v>0</v>
      </c>
      <c r="K56">
        <f t="shared" si="1"/>
        <v>0</v>
      </c>
      <c r="L56">
        <f t="shared" si="2"/>
        <v>0</v>
      </c>
      <c r="M56">
        <f t="shared" si="9"/>
        <v>0</v>
      </c>
      <c r="N56">
        <f t="shared" si="10"/>
        <v>0</v>
      </c>
      <c r="O56">
        <f t="shared" si="11"/>
        <v>0</v>
      </c>
      <c r="P56">
        <v>1.0400000000000027</v>
      </c>
      <c r="R56">
        <v>4.9020000000000001</v>
      </c>
      <c r="S56">
        <f t="shared" si="3"/>
        <v>0</v>
      </c>
    </row>
    <row r="57" spans="1:19" x14ac:dyDescent="0.3">
      <c r="A57">
        <v>11323180</v>
      </c>
      <c r="B57">
        <f t="shared" si="4"/>
        <v>9.0999999999999998E-2</v>
      </c>
      <c r="C57">
        <f t="shared" si="5"/>
        <v>4.9930000000000003</v>
      </c>
      <c r="D57">
        <v>-0.77</v>
      </c>
      <c r="E57">
        <v>0.18</v>
      </c>
      <c r="F57">
        <v>-0.62</v>
      </c>
      <c r="G57">
        <f t="shared" si="6"/>
        <v>1.0000000000000009E-2</v>
      </c>
      <c r="H57">
        <f t="shared" si="7"/>
        <v>0</v>
      </c>
      <c r="I57">
        <f t="shared" si="8"/>
        <v>0</v>
      </c>
      <c r="J57">
        <f t="shared" si="0"/>
        <v>0</v>
      </c>
      <c r="K57">
        <f t="shared" si="1"/>
        <v>0</v>
      </c>
      <c r="L57">
        <f t="shared" si="2"/>
        <v>0</v>
      </c>
      <c r="M57">
        <f t="shared" si="9"/>
        <v>0</v>
      </c>
      <c r="N57">
        <f t="shared" si="10"/>
        <v>0</v>
      </c>
      <c r="O57">
        <f t="shared" si="11"/>
        <v>0</v>
      </c>
      <c r="P57">
        <v>0.21000000000000085</v>
      </c>
      <c r="R57">
        <v>4.9930000000000003</v>
      </c>
      <c r="S57">
        <f t="shared" si="3"/>
        <v>0</v>
      </c>
    </row>
    <row r="58" spans="1:19" x14ac:dyDescent="0.3">
      <c r="A58">
        <v>11323271</v>
      </c>
      <c r="B58">
        <f t="shared" si="4"/>
        <v>9.0999999999999998E-2</v>
      </c>
      <c r="C58">
        <f t="shared" si="5"/>
        <v>5.0839999999999996</v>
      </c>
      <c r="D58">
        <v>-0.76</v>
      </c>
      <c r="E58">
        <v>0.18</v>
      </c>
      <c r="F58">
        <v>-0.62</v>
      </c>
      <c r="G58">
        <f t="shared" si="6"/>
        <v>1.0000000000000009E-2</v>
      </c>
      <c r="H58">
        <f t="shared" si="7"/>
        <v>0</v>
      </c>
      <c r="I58">
        <f t="shared" si="8"/>
        <v>0</v>
      </c>
      <c r="J58">
        <f t="shared" si="0"/>
        <v>0</v>
      </c>
      <c r="K58">
        <f t="shared" si="1"/>
        <v>0</v>
      </c>
      <c r="L58">
        <f t="shared" si="2"/>
        <v>0</v>
      </c>
      <c r="M58">
        <f t="shared" si="9"/>
        <v>0</v>
      </c>
      <c r="N58">
        <f t="shared" si="10"/>
        <v>0</v>
      </c>
      <c r="O58">
        <f t="shared" si="11"/>
        <v>0</v>
      </c>
      <c r="P58">
        <v>0.42000000000000171</v>
      </c>
      <c r="R58">
        <v>5.0839999999999996</v>
      </c>
      <c r="S58">
        <f t="shared" si="3"/>
        <v>0</v>
      </c>
    </row>
    <row r="59" spans="1:19" x14ac:dyDescent="0.3">
      <c r="A59">
        <v>11323362</v>
      </c>
      <c r="B59">
        <f t="shared" si="4"/>
        <v>9.0999999999999998E-2</v>
      </c>
      <c r="C59">
        <f t="shared" si="5"/>
        <v>5.1749999999999998</v>
      </c>
      <c r="D59">
        <v>-0.76</v>
      </c>
      <c r="E59">
        <v>0.18</v>
      </c>
      <c r="F59">
        <v>-0.63</v>
      </c>
      <c r="G59">
        <f t="shared" si="6"/>
        <v>0</v>
      </c>
      <c r="H59">
        <f t="shared" si="7"/>
        <v>0</v>
      </c>
      <c r="I59">
        <f t="shared" si="8"/>
        <v>1.0000000000000009E-2</v>
      </c>
      <c r="J59">
        <f t="shared" si="0"/>
        <v>0</v>
      </c>
      <c r="K59">
        <f t="shared" si="1"/>
        <v>0</v>
      </c>
      <c r="L59">
        <f t="shared" si="2"/>
        <v>0</v>
      </c>
      <c r="M59">
        <f t="shared" si="9"/>
        <v>0</v>
      </c>
      <c r="N59">
        <f t="shared" si="10"/>
        <v>0</v>
      </c>
      <c r="O59">
        <f t="shared" si="11"/>
        <v>0</v>
      </c>
      <c r="P59">
        <v>0.42000000000000171</v>
      </c>
      <c r="R59">
        <v>5.1749999999999998</v>
      </c>
      <c r="S59">
        <f t="shared" si="3"/>
        <v>0</v>
      </c>
    </row>
    <row r="60" spans="1:19" x14ac:dyDescent="0.3">
      <c r="A60">
        <v>11323452</v>
      </c>
      <c r="B60">
        <f t="shared" si="4"/>
        <v>0.09</v>
      </c>
      <c r="C60">
        <f t="shared" si="5"/>
        <v>5.2649999999999997</v>
      </c>
      <c r="D60">
        <v>-0.76</v>
      </c>
      <c r="E60">
        <v>0.18</v>
      </c>
      <c r="F60">
        <v>-0.62</v>
      </c>
      <c r="G60">
        <f t="shared" si="6"/>
        <v>0</v>
      </c>
      <c r="H60">
        <f t="shared" si="7"/>
        <v>0</v>
      </c>
      <c r="I60">
        <f t="shared" si="8"/>
        <v>1.0000000000000009E-2</v>
      </c>
      <c r="J60">
        <f t="shared" si="0"/>
        <v>0</v>
      </c>
      <c r="K60">
        <f t="shared" si="1"/>
        <v>0</v>
      </c>
      <c r="L60">
        <f t="shared" si="2"/>
        <v>0</v>
      </c>
      <c r="M60">
        <f t="shared" si="9"/>
        <v>0</v>
      </c>
      <c r="N60">
        <f t="shared" si="10"/>
        <v>0</v>
      </c>
      <c r="O60">
        <f t="shared" si="11"/>
        <v>0</v>
      </c>
      <c r="P60">
        <v>0.21000000000000085</v>
      </c>
      <c r="R60">
        <v>5.2649999999999997</v>
      </c>
      <c r="S60">
        <f t="shared" si="3"/>
        <v>0</v>
      </c>
    </row>
    <row r="61" spans="1:19" x14ac:dyDescent="0.3">
      <c r="A61">
        <v>11323543</v>
      </c>
      <c r="B61">
        <f t="shared" si="4"/>
        <v>9.0999999999999998E-2</v>
      </c>
      <c r="C61">
        <f t="shared" si="5"/>
        <v>5.3559999999999999</v>
      </c>
      <c r="D61">
        <v>-0.76</v>
      </c>
      <c r="E61">
        <v>0.17</v>
      </c>
      <c r="F61">
        <v>-0.62</v>
      </c>
      <c r="G61">
        <f t="shared" si="6"/>
        <v>0</v>
      </c>
      <c r="H61">
        <f t="shared" si="7"/>
        <v>9.9999999999999811E-3</v>
      </c>
      <c r="I61">
        <f t="shared" si="8"/>
        <v>0</v>
      </c>
      <c r="J61">
        <f t="shared" si="0"/>
        <v>0</v>
      </c>
      <c r="K61">
        <f t="shared" si="1"/>
        <v>0</v>
      </c>
      <c r="L61">
        <f t="shared" si="2"/>
        <v>0</v>
      </c>
      <c r="M61">
        <f t="shared" si="9"/>
        <v>0</v>
      </c>
      <c r="N61">
        <f t="shared" si="10"/>
        <v>0</v>
      </c>
      <c r="O61">
        <f t="shared" si="11"/>
        <v>0</v>
      </c>
      <c r="P61">
        <v>0.42000000000000171</v>
      </c>
      <c r="R61">
        <v>5.3559999999999999</v>
      </c>
      <c r="S61">
        <f t="shared" si="3"/>
        <v>0</v>
      </c>
    </row>
    <row r="62" spans="1:19" x14ac:dyDescent="0.3">
      <c r="A62">
        <v>11323634</v>
      </c>
      <c r="B62">
        <f t="shared" si="4"/>
        <v>9.0999999999999998E-2</v>
      </c>
      <c r="C62">
        <f t="shared" si="5"/>
        <v>5.4470000000000001</v>
      </c>
      <c r="D62">
        <v>-0.76</v>
      </c>
      <c r="E62">
        <v>0.17</v>
      </c>
      <c r="F62">
        <v>-0.63</v>
      </c>
      <c r="G62">
        <f t="shared" si="6"/>
        <v>0</v>
      </c>
      <c r="H62">
        <f t="shared" si="7"/>
        <v>0</v>
      </c>
      <c r="I62">
        <f t="shared" si="8"/>
        <v>1.0000000000000009E-2</v>
      </c>
      <c r="J62">
        <f t="shared" si="0"/>
        <v>0</v>
      </c>
      <c r="K62">
        <f t="shared" si="1"/>
        <v>0</v>
      </c>
      <c r="L62">
        <f t="shared" si="2"/>
        <v>0</v>
      </c>
      <c r="M62">
        <f t="shared" si="9"/>
        <v>0</v>
      </c>
      <c r="N62">
        <f t="shared" si="10"/>
        <v>0</v>
      </c>
      <c r="O62">
        <f t="shared" si="11"/>
        <v>0</v>
      </c>
      <c r="P62">
        <v>0</v>
      </c>
      <c r="R62">
        <v>5.4470000000000001</v>
      </c>
      <c r="S62">
        <f t="shared" si="3"/>
        <v>0</v>
      </c>
    </row>
    <row r="63" spans="1:19" x14ac:dyDescent="0.3">
      <c r="A63">
        <v>11323724</v>
      </c>
      <c r="B63">
        <f t="shared" si="4"/>
        <v>0.09</v>
      </c>
      <c r="C63">
        <f t="shared" si="5"/>
        <v>5.5369999999999999</v>
      </c>
      <c r="D63">
        <v>-0.76</v>
      </c>
      <c r="E63">
        <v>0.18</v>
      </c>
      <c r="F63">
        <v>-0.62</v>
      </c>
      <c r="G63">
        <f t="shared" si="6"/>
        <v>0</v>
      </c>
      <c r="H63">
        <f t="shared" si="7"/>
        <v>9.9999999999999811E-3</v>
      </c>
      <c r="I63">
        <f t="shared" si="8"/>
        <v>1.0000000000000009E-2</v>
      </c>
      <c r="J63">
        <f t="shared" si="0"/>
        <v>0</v>
      </c>
      <c r="K63">
        <f t="shared" si="1"/>
        <v>0</v>
      </c>
      <c r="L63">
        <f t="shared" si="2"/>
        <v>0</v>
      </c>
      <c r="M63">
        <f t="shared" si="9"/>
        <v>0</v>
      </c>
      <c r="N63">
        <f t="shared" si="10"/>
        <v>0</v>
      </c>
      <c r="O63">
        <f t="shared" si="11"/>
        <v>0</v>
      </c>
      <c r="P63">
        <v>0.42000000000000171</v>
      </c>
      <c r="R63">
        <v>5.5369999999999999</v>
      </c>
      <c r="S63">
        <f t="shared" si="3"/>
        <v>0</v>
      </c>
    </row>
    <row r="64" spans="1:19" x14ac:dyDescent="0.3">
      <c r="A64">
        <v>11323815</v>
      </c>
      <c r="B64">
        <f t="shared" si="4"/>
        <v>9.0999999999999998E-2</v>
      </c>
      <c r="C64">
        <f t="shared" si="5"/>
        <v>5.6280000000000001</v>
      </c>
      <c r="D64">
        <v>-0.76</v>
      </c>
      <c r="E64">
        <v>0.18</v>
      </c>
      <c r="F64">
        <v>-0.62</v>
      </c>
      <c r="G64">
        <f t="shared" si="6"/>
        <v>0</v>
      </c>
      <c r="H64">
        <f t="shared" si="7"/>
        <v>0</v>
      </c>
      <c r="I64">
        <f t="shared" si="8"/>
        <v>0</v>
      </c>
      <c r="J64">
        <f t="shared" si="0"/>
        <v>0</v>
      </c>
      <c r="K64">
        <f t="shared" si="1"/>
        <v>0</v>
      </c>
      <c r="L64">
        <f t="shared" si="2"/>
        <v>0</v>
      </c>
      <c r="M64">
        <f t="shared" si="9"/>
        <v>0</v>
      </c>
      <c r="N64">
        <f t="shared" si="10"/>
        <v>0</v>
      </c>
      <c r="O64">
        <f t="shared" si="11"/>
        <v>0</v>
      </c>
      <c r="P64">
        <v>0.21000000000000085</v>
      </c>
      <c r="R64">
        <v>5.6280000000000001</v>
      </c>
      <c r="S64">
        <f t="shared" si="3"/>
        <v>0</v>
      </c>
    </row>
    <row r="65" spans="1:19" x14ac:dyDescent="0.3">
      <c r="A65">
        <v>11323907</v>
      </c>
      <c r="B65">
        <f t="shared" si="4"/>
        <v>9.1999999999999998E-2</v>
      </c>
      <c r="C65">
        <f t="shared" si="5"/>
        <v>5.72</v>
      </c>
      <c r="D65">
        <v>-0.76</v>
      </c>
      <c r="E65">
        <v>0.18</v>
      </c>
      <c r="F65">
        <v>-0.62</v>
      </c>
      <c r="G65">
        <f t="shared" si="6"/>
        <v>0</v>
      </c>
      <c r="H65">
        <f t="shared" si="7"/>
        <v>0</v>
      </c>
      <c r="I65">
        <f t="shared" si="8"/>
        <v>0</v>
      </c>
      <c r="J65">
        <f t="shared" si="0"/>
        <v>0</v>
      </c>
      <c r="K65">
        <f t="shared" si="1"/>
        <v>0</v>
      </c>
      <c r="L65">
        <f t="shared" si="2"/>
        <v>0</v>
      </c>
      <c r="M65">
        <f t="shared" si="9"/>
        <v>0</v>
      </c>
      <c r="N65">
        <f t="shared" si="10"/>
        <v>0</v>
      </c>
      <c r="O65">
        <f t="shared" si="11"/>
        <v>0</v>
      </c>
      <c r="P65">
        <v>0</v>
      </c>
      <c r="R65">
        <v>5.72</v>
      </c>
      <c r="S65">
        <f t="shared" si="3"/>
        <v>0</v>
      </c>
    </row>
    <row r="66" spans="1:19" x14ac:dyDescent="0.3">
      <c r="A66">
        <v>11323997</v>
      </c>
      <c r="B66">
        <f t="shared" si="4"/>
        <v>0.09</v>
      </c>
      <c r="C66">
        <f t="shared" si="5"/>
        <v>5.81</v>
      </c>
      <c r="D66">
        <v>-0.76</v>
      </c>
      <c r="E66">
        <v>0.18</v>
      </c>
      <c r="F66">
        <v>-0.61</v>
      </c>
      <c r="G66">
        <f t="shared" si="6"/>
        <v>0</v>
      </c>
      <c r="H66">
        <f t="shared" si="7"/>
        <v>0</v>
      </c>
      <c r="I66">
        <f t="shared" si="8"/>
        <v>1.0000000000000009E-2</v>
      </c>
      <c r="J66">
        <f t="shared" si="0"/>
        <v>0</v>
      </c>
      <c r="K66">
        <f t="shared" si="1"/>
        <v>0</v>
      </c>
      <c r="L66">
        <f t="shared" si="2"/>
        <v>0</v>
      </c>
      <c r="M66">
        <f t="shared" si="9"/>
        <v>0</v>
      </c>
      <c r="N66">
        <f t="shared" si="10"/>
        <v>0</v>
      </c>
      <c r="O66">
        <f t="shared" si="11"/>
        <v>0</v>
      </c>
      <c r="P66">
        <v>0</v>
      </c>
      <c r="R66">
        <v>5.81</v>
      </c>
      <c r="S66">
        <f t="shared" si="3"/>
        <v>0</v>
      </c>
    </row>
    <row r="67" spans="1:19" x14ac:dyDescent="0.3">
      <c r="A67">
        <v>11324088</v>
      </c>
      <c r="B67">
        <f t="shared" si="4"/>
        <v>9.0999999999999998E-2</v>
      </c>
      <c r="C67">
        <f t="shared" si="5"/>
        <v>5.9009999999999998</v>
      </c>
      <c r="D67">
        <v>-0.77</v>
      </c>
      <c r="E67">
        <v>0.17</v>
      </c>
      <c r="F67">
        <v>-0.62</v>
      </c>
      <c r="G67">
        <f t="shared" si="6"/>
        <v>1.0000000000000009E-2</v>
      </c>
      <c r="H67">
        <f t="shared" si="7"/>
        <v>9.9999999999999811E-3</v>
      </c>
      <c r="I67">
        <f t="shared" si="8"/>
        <v>1.0000000000000009E-2</v>
      </c>
      <c r="J67">
        <f t="shared" ref="J67:J130" si="12">IF(ABS(D67-D66) &gt; $Q$2, 1/2*(D67+D66)*9.81*B67 + J66, 0)</f>
        <v>0</v>
      </c>
      <c r="K67">
        <f t="shared" ref="K67:K130" si="13">IF(ABS(E67-E66) &gt; $Q$2, 1/2*(E67+E66)*9.81*B67 + K66, 0)</f>
        <v>0</v>
      </c>
      <c r="L67">
        <f t="shared" ref="L67:L130" si="14">IF(ABS(F67-F66) &gt; $Q$2, 1/2*(F67+F66)*9.81*B67 + L66, 0)</f>
        <v>0</v>
      </c>
      <c r="M67">
        <f t="shared" si="9"/>
        <v>0</v>
      </c>
      <c r="N67">
        <f t="shared" si="10"/>
        <v>0</v>
      </c>
      <c r="O67">
        <f t="shared" si="11"/>
        <v>0</v>
      </c>
      <c r="P67">
        <v>0.42000000000000171</v>
      </c>
      <c r="R67">
        <v>5.9009999999999998</v>
      </c>
      <c r="S67">
        <f t="shared" ref="S67:S130" si="15">SQRT(O67*O67)*100</f>
        <v>0</v>
      </c>
    </row>
    <row r="68" spans="1:19" x14ac:dyDescent="0.3">
      <c r="A68">
        <v>11324179</v>
      </c>
      <c r="B68">
        <f t="shared" ref="B68:B131" si="16">(A68-A67)/1000</f>
        <v>9.0999999999999998E-2</v>
      </c>
      <c r="C68">
        <f t="shared" ref="C68:C131" si="17">(A68-$A$2)/1000</f>
        <v>5.992</v>
      </c>
      <c r="D68">
        <v>-0.76</v>
      </c>
      <c r="E68">
        <v>0.18</v>
      </c>
      <c r="F68">
        <v>-0.62</v>
      </c>
      <c r="G68">
        <f t="shared" ref="G68:G131" si="18">ABS(D68-D67)</f>
        <v>1.0000000000000009E-2</v>
      </c>
      <c r="H68">
        <f t="shared" ref="H68:H131" si="19">ABS(E68-E67)</f>
        <v>9.9999999999999811E-3</v>
      </c>
      <c r="I68">
        <f t="shared" ref="I68:I131" si="20">ABS(F68-F67)</f>
        <v>0</v>
      </c>
      <c r="J68">
        <f t="shared" si="12"/>
        <v>0</v>
      </c>
      <c r="K68">
        <f t="shared" si="13"/>
        <v>0</v>
      </c>
      <c r="L68">
        <f t="shared" si="14"/>
        <v>0</v>
      </c>
      <c r="M68">
        <f t="shared" ref="M68:M131" si="21">1/2*(J68+J67)*B68 + M67</f>
        <v>0</v>
      </c>
      <c r="N68">
        <f t="shared" ref="N68:N131" si="22">1/2*(K68+K67)*B68 + N67</f>
        <v>0</v>
      </c>
      <c r="O68">
        <f t="shared" ref="O68:O131" si="23">1/2*(L68+L67)*B68 + O67</f>
        <v>0</v>
      </c>
      <c r="P68">
        <v>0.21000000000000085</v>
      </c>
      <c r="R68">
        <v>5.992</v>
      </c>
      <c r="S68">
        <f t="shared" si="15"/>
        <v>0</v>
      </c>
    </row>
    <row r="69" spans="1:19" x14ac:dyDescent="0.3">
      <c r="A69">
        <v>11324269</v>
      </c>
      <c r="B69">
        <f t="shared" si="16"/>
        <v>0.09</v>
      </c>
      <c r="C69">
        <f t="shared" si="17"/>
        <v>6.0819999999999999</v>
      </c>
      <c r="D69">
        <v>-0.76</v>
      </c>
      <c r="E69">
        <v>0.18</v>
      </c>
      <c r="F69">
        <v>-0.62</v>
      </c>
      <c r="G69">
        <f t="shared" si="18"/>
        <v>0</v>
      </c>
      <c r="H69">
        <f t="shared" si="19"/>
        <v>0</v>
      </c>
      <c r="I69">
        <f t="shared" si="20"/>
        <v>0</v>
      </c>
      <c r="J69">
        <f t="shared" si="12"/>
        <v>0</v>
      </c>
      <c r="K69">
        <f t="shared" si="13"/>
        <v>0</v>
      </c>
      <c r="L69">
        <f t="shared" si="14"/>
        <v>0</v>
      </c>
      <c r="M69">
        <f t="shared" si="21"/>
        <v>0</v>
      </c>
      <c r="N69">
        <f t="shared" si="22"/>
        <v>0</v>
      </c>
      <c r="O69">
        <f t="shared" si="23"/>
        <v>0</v>
      </c>
      <c r="P69">
        <v>0</v>
      </c>
      <c r="R69">
        <v>6.0819999999999999</v>
      </c>
      <c r="S69">
        <f t="shared" si="15"/>
        <v>0</v>
      </c>
    </row>
    <row r="70" spans="1:19" x14ac:dyDescent="0.3">
      <c r="A70">
        <v>11324360</v>
      </c>
      <c r="B70">
        <f t="shared" si="16"/>
        <v>9.0999999999999998E-2</v>
      </c>
      <c r="C70">
        <f t="shared" si="17"/>
        <v>6.173</v>
      </c>
      <c r="D70">
        <v>-0.76</v>
      </c>
      <c r="E70">
        <v>0.18</v>
      </c>
      <c r="F70">
        <v>-0.63</v>
      </c>
      <c r="G70">
        <f t="shared" si="18"/>
        <v>0</v>
      </c>
      <c r="H70">
        <f t="shared" si="19"/>
        <v>0</v>
      </c>
      <c r="I70">
        <f t="shared" si="20"/>
        <v>1.0000000000000009E-2</v>
      </c>
      <c r="J70">
        <f t="shared" si="12"/>
        <v>0</v>
      </c>
      <c r="K70">
        <f t="shared" si="13"/>
        <v>0</v>
      </c>
      <c r="L70">
        <f t="shared" si="14"/>
        <v>0</v>
      </c>
      <c r="M70">
        <f t="shared" si="21"/>
        <v>0</v>
      </c>
      <c r="N70">
        <f t="shared" si="22"/>
        <v>0</v>
      </c>
      <c r="O70">
        <f t="shared" si="23"/>
        <v>0</v>
      </c>
      <c r="P70">
        <v>0</v>
      </c>
      <c r="R70">
        <v>6.173</v>
      </c>
      <c r="S70">
        <f t="shared" si="15"/>
        <v>0</v>
      </c>
    </row>
    <row r="71" spans="1:19" x14ac:dyDescent="0.3">
      <c r="A71">
        <v>11324451</v>
      </c>
      <c r="B71">
        <f t="shared" si="16"/>
        <v>9.0999999999999998E-2</v>
      </c>
      <c r="C71">
        <f t="shared" si="17"/>
        <v>6.2640000000000002</v>
      </c>
      <c r="D71">
        <v>-0.76</v>
      </c>
      <c r="E71">
        <v>0.18</v>
      </c>
      <c r="F71">
        <v>-0.62</v>
      </c>
      <c r="G71">
        <f t="shared" si="18"/>
        <v>0</v>
      </c>
      <c r="H71">
        <f t="shared" si="19"/>
        <v>0</v>
      </c>
      <c r="I71">
        <f t="shared" si="20"/>
        <v>1.0000000000000009E-2</v>
      </c>
      <c r="J71">
        <f t="shared" si="12"/>
        <v>0</v>
      </c>
      <c r="K71">
        <f t="shared" si="13"/>
        <v>0</v>
      </c>
      <c r="L71">
        <f t="shared" si="14"/>
        <v>0</v>
      </c>
      <c r="M71">
        <f t="shared" si="21"/>
        <v>0</v>
      </c>
      <c r="N71">
        <f t="shared" si="22"/>
        <v>0</v>
      </c>
      <c r="O71">
        <f t="shared" si="23"/>
        <v>0</v>
      </c>
      <c r="P71">
        <v>0.42000000000000171</v>
      </c>
      <c r="R71">
        <v>6.2640000000000002</v>
      </c>
      <c r="S71">
        <f t="shared" si="15"/>
        <v>0</v>
      </c>
    </row>
    <row r="72" spans="1:19" x14ac:dyDescent="0.3">
      <c r="A72">
        <v>11324541</v>
      </c>
      <c r="B72">
        <f t="shared" si="16"/>
        <v>0.09</v>
      </c>
      <c r="C72">
        <f t="shared" si="17"/>
        <v>6.3540000000000001</v>
      </c>
      <c r="D72">
        <v>-0.76</v>
      </c>
      <c r="E72">
        <v>0.18</v>
      </c>
      <c r="F72">
        <v>-0.63</v>
      </c>
      <c r="G72">
        <f t="shared" si="18"/>
        <v>0</v>
      </c>
      <c r="H72">
        <f t="shared" si="19"/>
        <v>0</v>
      </c>
      <c r="I72">
        <f t="shared" si="20"/>
        <v>1.0000000000000009E-2</v>
      </c>
      <c r="J72">
        <f t="shared" si="12"/>
        <v>0</v>
      </c>
      <c r="K72">
        <f t="shared" si="13"/>
        <v>0</v>
      </c>
      <c r="L72">
        <f t="shared" si="14"/>
        <v>0</v>
      </c>
      <c r="M72">
        <f t="shared" si="21"/>
        <v>0</v>
      </c>
      <c r="N72">
        <f t="shared" si="22"/>
        <v>0</v>
      </c>
      <c r="O72">
        <f t="shared" si="23"/>
        <v>0</v>
      </c>
      <c r="P72">
        <v>0.42000000000000171</v>
      </c>
      <c r="R72">
        <v>6.3540000000000001</v>
      </c>
      <c r="S72">
        <f t="shared" si="15"/>
        <v>0</v>
      </c>
    </row>
    <row r="73" spans="1:19" x14ac:dyDescent="0.3">
      <c r="A73">
        <v>11324633</v>
      </c>
      <c r="B73">
        <f t="shared" si="16"/>
        <v>9.1999999999999998E-2</v>
      </c>
      <c r="C73">
        <f t="shared" si="17"/>
        <v>6.4459999999999997</v>
      </c>
      <c r="D73">
        <v>-0.76</v>
      </c>
      <c r="E73">
        <v>0.18</v>
      </c>
      <c r="F73">
        <v>-0.62</v>
      </c>
      <c r="G73">
        <f t="shared" si="18"/>
        <v>0</v>
      </c>
      <c r="H73">
        <f t="shared" si="19"/>
        <v>0</v>
      </c>
      <c r="I73">
        <f t="shared" si="20"/>
        <v>1.0000000000000009E-2</v>
      </c>
      <c r="J73">
        <f t="shared" si="12"/>
        <v>0</v>
      </c>
      <c r="K73">
        <f t="shared" si="13"/>
        <v>0</v>
      </c>
      <c r="L73">
        <f t="shared" si="14"/>
        <v>0</v>
      </c>
      <c r="M73">
        <f t="shared" si="21"/>
        <v>0</v>
      </c>
      <c r="N73">
        <f t="shared" si="22"/>
        <v>0</v>
      </c>
      <c r="O73">
        <f t="shared" si="23"/>
        <v>0</v>
      </c>
      <c r="P73">
        <v>0</v>
      </c>
      <c r="R73">
        <v>6.4459999999999997</v>
      </c>
      <c r="S73">
        <f t="shared" si="15"/>
        <v>0</v>
      </c>
    </row>
    <row r="74" spans="1:19" x14ac:dyDescent="0.3">
      <c r="A74">
        <v>11324724</v>
      </c>
      <c r="B74">
        <f t="shared" si="16"/>
        <v>9.0999999999999998E-2</v>
      </c>
      <c r="C74">
        <f t="shared" si="17"/>
        <v>6.5369999999999999</v>
      </c>
      <c r="D74">
        <v>-0.76</v>
      </c>
      <c r="E74">
        <v>0.18</v>
      </c>
      <c r="F74">
        <v>-0.63</v>
      </c>
      <c r="G74">
        <f t="shared" si="18"/>
        <v>0</v>
      </c>
      <c r="H74">
        <f t="shared" si="19"/>
        <v>0</v>
      </c>
      <c r="I74">
        <f t="shared" si="20"/>
        <v>1.0000000000000009E-2</v>
      </c>
      <c r="J74">
        <f t="shared" si="12"/>
        <v>0</v>
      </c>
      <c r="K74">
        <f t="shared" si="13"/>
        <v>0</v>
      </c>
      <c r="L74">
        <f t="shared" si="14"/>
        <v>0</v>
      </c>
      <c r="M74">
        <f t="shared" si="21"/>
        <v>0</v>
      </c>
      <c r="N74">
        <f t="shared" si="22"/>
        <v>0</v>
      </c>
      <c r="O74">
        <f t="shared" si="23"/>
        <v>0</v>
      </c>
      <c r="P74">
        <v>0.21000000000000085</v>
      </c>
      <c r="R74">
        <v>6.5369999999999999</v>
      </c>
      <c r="S74">
        <f t="shared" si="15"/>
        <v>0</v>
      </c>
    </row>
    <row r="75" spans="1:19" x14ac:dyDescent="0.3">
      <c r="A75">
        <v>11324814</v>
      </c>
      <c r="B75">
        <f t="shared" si="16"/>
        <v>0.09</v>
      </c>
      <c r="C75">
        <f t="shared" si="17"/>
        <v>6.6269999999999998</v>
      </c>
      <c r="D75">
        <v>-0.76</v>
      </c>
      <c r="E75">
        <v>0.18</v>
      </c>
      <c r="F75">
        <v>-0.62</v>
      </c>
      <c r="G75">
        <f t="shared" si="18"/>
        <v>0</v>
      </c>
      <c r="H75">
        <f t="shared" si="19"/>
        <v>0</v>
      </c>
      <c r="I75">
        <f t="shared" si="20"/>
        <v>1.0000000000000009E-2</v>
      </c>
      <c r="J75">
        <f t="shared" si="12"/>
        <v>0</v>
      </c>
      <c r="K75">
        <f t="shared" si="13"/>
        <v>0</v>
      </c>
      <c r="L75">
        <f t="shared" si="14"/>
        <v>0</v>
      </c>
      <c r="M75">
        <f t="shared" si="21"/>
        <v>0</v>
      </c>
      <c r="N75">
        <f t="shared" si="22"/>
        <v>0</v>
      </c>
      <c r="O75">
        <f t="shared" si="23"/>
        <v>0</v>
      </c>
      <c r="P75">
        <v>0.42000000000000171</v>
      </c>
      <c r="R75">
        <v>6.6269999999999998</v>
      </c>
      <c r="S75">
        <f t="shared" si="15"/>
        <v>0</v>
      </c>
    </row>
    <row r="76" spans="1:19" x14ac:dyDescent="0.3">
      <c r="A76">
        <v>11324905</v>
      </c>
      <c r="B76">
        <f t="shared" si="16"/>
        <v>9.0999999999999998E-2</v>
      </c>
      <c r="C76">
        <f t="shared" si="17"/>
        <v>6.718</v>
      </c>
      <c r="D76">
        <v>-0.76</v>
      </c>
      <c r="E76">
        <v>0.18</v>
      </c>
      <c r="F76">
        <v>-0.62</v>
      </c>
      <c r="G76">
        <f t="shared" si="18"/>
        <v>0</v>
      </c>
      <c r="H76">
        <f t="shared" si="19"/>
        <v>0</v>
      </c>
      <c r="I76">
        <f t="shared" si="20"/>
        <v>0</v>
      </c>
      <c r="J76">
        <f t="shared" si="12"/>
        <v>0</v>
      </c>
      <c r="K76">
        <f t="shared" si="13"/>
        <v>0</v>
      </c>
      <c r="L76">
        <f t="shared" si="14"/>
        <v>0</v>
      </c>
      <c r="M76">
        <f t="shared" si="21"/>
        <v>0</v>
      </c>
      <c r="N76">
        <f t="shared" si="22"/>
        <v>0</v>
      </c>
      <c r="O76">
        <f t="shared" si="23"/>
        <v>0</v>
      </c>
      <c r="P76">
        <v>0.42000000000000171</v>
      </c>
      <c r="R76">
        <v>6.718</v>
      </c>
      <c r="S76">
        <f t="shared" si="15"/>
        <v>0</v>
      </c>
    </row>
    <row r="77" spans="1:19" x14ac:dyDescent="0.3">
      <c r="A77">
        <v>11324996</v>
      </c>
      <c r="B77">
        <f t="shared" si="16"/>
        <v>9.0999999999999998E-2</v>
      </c>
      <c r="C77">
        <f t="shared" si="17"/>
        <v>6.8090000000000002</v>
      </c>
      <c r="D77">
        <v>-0.76</v>
      </c>
      <c r="E77">
        <v>0.18</v>
      </c>
      <c r="F77">
        <v>-0.62</v>
      </c>
      <c r="G77">
        <f t="shared" si="18"/>
        <v>0</v>
      </c>
      <c r="H77">
        <f t="shared" si="19"/>
        <v>0</v>
      </c>
      <c r="I77">
        <f t="shared" si="20"/>
        <v>0</v>
      </c>
      <c r="J77">
        <f t="shared" si="12"/>
        <v>0</v>
      </c>
      <c r="K77">
        <f t="shared" si="13"/>
        <v>0</v>
      </c>
      <c r="L77">
        <f t="shared" si="14"/>
        <v>0</v>
      </c>
      <c r="M77">
        <f t="shared" si="21"/>
        <v>0</v>
      </c>
      <c r="N77">
        <f t="shared" si="22"/>
        <v>0</v>
      </c>
      <c r="O77">
        <f t="shared" si="23"/>
        <v>0</v>
      </c>
      <c r="P77">
        <v>0.42000000000000171</v>
      </c>
      <c r="R77">
        <v>6.8090000000000002</v>
      </c>
      <c r="S77">
        <f t="shared" si="15"/>
        <v>0</v>
      </c>
    </row>
    <row r="78" spans="1:19" x14ac:dyDescent="0.3">
      <c r="A78">
        <v>11325086</v>
      </c>
      <c r="B78">
        <f t="shared" si="16"/>
        <v>0.09</v>
      </c>
      <c r="C78">
        <f t="shared" si="17"/>
        <v>6.899</v>
      </c>
      <c r="D78">
        <v>-0.76</v>
      </c>
      <c r="E78">
        <v>0.17</v>
      </c>
      <c r="F78">
        <v>-0.62</v>
      </c>
      <c r="G78">
        <f t="shared" si="18"/>
        <v>0</v>
      </c>
      <c r="H78">
        <f t="shared" si="19"/>
        <v>9.9999999999999811E-3</v>
      </c>
      <c r="I78">
        <f t="shared" si="20"/>
        <v>0</v>
      </c>
      <c r="J78">
        <f t="shared" si="12"/>
        <v>0</v>
      </c>
      <c r="K78">
        <f t="shared" si="13"/>
        <v>0</v>
      </c>
      <c r="L78">
        <f t="shared" si="14"/>
        <v>0</v>
      </c>
      <c r="M78">
        <f t="shared" si="21"/>
        <v>0</v>
      </c>
      <c r="N78">
        <f t="shared" si="22"/>
        <v>0</v>
      </c>
      <c r="O78">
        <f t="shared" si="23"/>
        <v>0</v>
      </c>
      <c r="P78">
        <v>0.42000000000000171</v>
      </c>
      <c r="R78">
        <v>6.899</v>
      </c>
      <c r="S78">
        <f t="shared" si="15"/>
        <v>0</v>
      </c>
    </row>
    <row r="79" spans="1:19" x14ac:dyDescent="0.3">
      <c r="A79">
        <v>11325177</v>
      </c>
      <c r="B79">
        <f t="shared" si="16"/>
        <v>9.0999999999999998E-2</v>
      </c>
      <c r="C79">
        <f t="shared" si="17"/>
        <v>6.99</v>
      </c>
      <c r="D79">
        <v>-0.76</v>
      </c>
      <c r="E79">
        <v>0.17</v>
      </c>
      <c r="F79">
        <v>-0.62</v>
      </c>
      <c r="G79">
        <f t="shared" si="18"/>
        <v>0</v>
      </c>
      <c r="H79">
        <f t="shared" si="19"/>
        <v>0</v>
      </c>
      <c r="I79">
        <f t="shared" si="20"/>
        <v>0</v>
      </c>
      <c r="J79">
        <f t="shared" si="12"/>
        <v>0</v>
      </c>
      <c r="K79">
        <f t="shared" si="13"/>
        <v>0</v>
      </c>
      <c r="L79">
        <f t="shared" si="14"/>
        <v>0</v>
      </c>
      <c r="M79">
        <f t="shared" si="21"/>
        <v>0</v>
      </c>
      <c r="N79">
        <f t="shared" si="22"/>
        <v>0</v>
      </c>
      <c r="O79">
        <f t="shared" si="23"/>
        <v>0</v>
      </c>
      <c r="P79">
        <v>0</v>
      </c>
      <c r="R79">
        <v>6.99</v>
      </c>
      <c r="S79">
        <f t="shared" si="15"/>
        <v>0</v>
      </c>
    </row>
    <row r="80" spans="1:19" x14ac:dyDescent="0.3">
      <c r="A80">
        <v>11325268</v>
      </c>
      <c r="B80">
        <f t="shared" si="16"/>
        <v>9.0999999999999998E-2</v>
      </c>
      <c r="C80">
        <f t="shared" si="17"/>
        <v>7.0810000000000004</v>
      </c>
      <c r="D80">
        <v>-0.76</v>
      </c>
      <c r="E80">
        <v>0.18</v>
      </c>
      <c r="F80">
        <v>-0.61</v>
      </c>
      <c r="G80">
        <f t="shared" si="18"/>
        <v>0</v>
      </c>
      <c r="H80">
        <f t="shared" si="19"/>
        <v>9.9999999999999811E-3</v>
      </c>
      <c r="I80">
        <f t="shared" si="20"/>
        <v>1.0000000000000009E-2</v>
      </c>
      <c r="J80">
        <f t="shared" si="12"/>
        <v>0</v>
      </c>
      <c r="K80">
        <f t="shared" si="13"/>
        <v>0</v>
      </c>
      <c r="L80">
        <f t="shared" si="14"/>
        <v>0</v>
      </c>
      <c r="M80">
        <f t="shared" si="21"/>
        <v>0</v>
      </c>
      <c r="N80">
        <f t="shared" si="22"/>
        <v>0</v>
      </c>
      <c r="O80">
        <f t="shared" si="23"/>
        <v>0</v>
      </c>
      <c r="P80">
        <v>0.42000000000000171</v>
      </c>
      <c r="R80">
        <v>7.0810000000000004</v>
      </c>
      <c r="S80">
        <f t="shared" si="15"/>
        <v>0</v>
      </c>
    </row>
    <row r="81" spans="1:19" x14ac:dyDescent="0.3">
      <c r="A81">
        <v>11325359</v>
      </c>
      <c r="B81">
        <f t="shared" si="16"/>
        <v>9.0999999999999998E-2</v>
      </c>
      <c r="C81">
        <f t="shared" si="17"/>
        <v>7.1719999999999997</v>
      </c>
      <c r="D81">
        <v>-0.76</v>
      </c>
      <c r="E81">
        <v>0.17</v>
      </c>
      <c r="F81">
        <v>-0.61</v>
      </c>
      <c r="G81">
        <f t="shared" si="18"/>
        <v>0</v>
      </c>
      <c r="H81">
        <f t="shared" si="19"/>
        <v>9.9999999999999811E-3</v>
      </c>
      <c r="I81">
        <f t="shared" si="20"/>
        <v>0</v>
      </c>
      <c r="J81">
        <f t="shared" si="12"/>
        <v>0</v>
      </c>
      <c r="K81">
        <f t="shared" si="13"/>
        <v>0</v>
      </c>
      <c r="L81">
        <f t="shared" si="14"/>
        <v>0</v>
      </c>
      <c r="M81">
        <f t="shared" si="21"/>
        <v>0</v>
      </c>
      <c r="N81">
        <f t="shared" si="22"/>
        <v>0</v>
      </c>
      <c r="O81">
        <f t="shared" si="23"/>
        <v>0</v>
      </c>
      <c r="P81">
        <v>0.42000000000000171</v>
      </c>
      <c r="R81">
        <v>7.1719999999999997</v>
      </c>
      <c r="S81">
        <f t="shared" si="15"/>
        <v>0</v>
      </c>
    </row>
    <row r="82" spans="1:19" x14ac:dyDescent="0.3">
      <c r="A82">
        <v>11325450</v>
      </c>
      <c r="B82">
        <f t="shared" si="16"/>
        <v>9.0999999999999998E-2</v>
      </c>
      <c r="C82">
        <f t="shared" si="17"/>
        <v>7.2629999999999999</v>
      </c>
      <c r="D82">
        <v>-0.76</v>
      </c>
      <c r="E82">
        <v>0.18</v>
      </c>
      <c r="F82">
        <v>-0.62</v>
      </c>
      <c r="G82">
        <f t="shared" si="18"/>
        <v>0</v>
      </c>
      <c r="H82">
        <f t="shared" si="19"/>
        <v>9.9999999999999811E-3</v>
      </c>
      <c r="I82">
        <f t="shared" si="20"/>
        <v>1.0000000000000009E-2</v>
      </c>
      <c r="J82">
        <f t="shared" si="12"/>
        <v>0</v>
      </c>
      <c r="K82">
        <f t="shared" si="13"/>
        <v>0</v>
      </c>
      <c r="L82">
        <f t="shared" si="14"/>
        <v>0</v>
      </c>
      <c r="M82">
        <f t="shared" si="21"/>
        <v>0</v>
      </c>
      <c r="N82">
        <f t="shared" si="22"/>
        <v>0</v>
      </c>
      <c r="O82">
        <f t="shared" si="23"/>
        <v>0</v>
      </c>
      <c r="P82">
        <v>0.42000000000000171</v>
      </c>
      <c r="R82">
        <v>7.2629999999999999</v>
      </c>
      <c r="S82">
        <f t="shared" si="15"/>
        <v>0</v>
      </c>
    </row>
    <row r="83" spans="1:19" x14ac:dyDescent="0.3">
      <c r="A83">
        <v>11325541</v>
      </c>
      <c r="B83">
        <f t="shared" si="16"/>
        <v>9.0999999999999998E-2</v>
      </c>
      <c r="C83">
        <f t="shared" si="17"/>
        <v>7.3540000000000001</v>
      </c>
      <c r="D83">
        <v>-0.76</v>
      </c>
      <c r="E83">
        <v>0.18</v>
      </c>
      <c r="F83">
        <v>-0.63</v>
      </c>
      <c r="G83">
        <f t="shared" si="18"/>
        <v>0</v>
      </c>
      <c r="H83">
        <f t="shared" si="19"/>
        <v>0</v>
      </c>
      <c r="I83">
        <f t="shared" si="20"/>
        <v>1.0000000000000009E-2</v>
      </c>
      <c r="J83">
        <f t="shared" si="12"/>
        <v>0</v>
      </c>
      <c r="K83">
        <f t="shared" si="13"/>
        <v>0</v>
      </c>
      <c r="L83">
        <f t="shared" si="14"/>
        <v>0</v>
      </c>
      <c r="M83">
        <f t="shared" si="21"/>
        <v>0</v>
      </c>
      <c r="N83">
        <f t="shared" si="22"/>
        <v>0</v>
      </c>
      <c r="O83">
        <f t="shared" si="23"/>
        <v>0</v>
      </c>
      <c r="P83">
        <v>0</v>
      </c>
      <c r="R83">
        <v>7.3540000000000001</v>
      </c>
      <c r="S83">
        <f t="shared" si="15"/>
        <v>0</v>
      </c>
    </row>
    <row r="84" spans="1:19" x14ac:dyDescent="0.3">
      <c r="A84">
        <v>11325631</v>
      </c>
      <c r="B84">
        <f t="shared" si="16"/>
        <v>0.09</v>
      </c>
      <c r="C84">
        <f t="shared" si="17"/>
        <v>7.444</v>
      </c>
      <c r="D84">
        <v>-0.76</v>
      </c>
      <c r="E84">
        <v>0.18</v>
      </c>
      <c r="F84">
        <v>-0.62</v>
      </c>
      <c r="G84">
        <f t="shared" si="18"/>
        <v>0</v>
      </c>
      <c r="H84">
        <f t="shared" si="19"/>
        <v>0</v>
      </c>
      <c r="I84">
        <f t="shared" si="20"/>
        <v>1.0000000000000009E-2</v>
      </c>
      <c r="J84">
        <f t="shared" si="12"/>
        <v>0</v>
      </c>
      <c r="K84">
        <f t="shared" si="13"/>
        <v>0</v>
      </c>
      <c r="L84">
        <f t="shared" si="14"/>
        <v>0</v>
      </c>
      <c r="M84">
        <f t="shared" si="21"/>
        <v>0</v>
      </c>
      <c r="N84">
        <f t="shared" si="22"/>
        <v>0</v>
      </c>
      <c r="O84">
        <f t="shared" si="23"/>
        <v>0</v>
      </c>
      <c r="P84">
        <v>0</v>
      </c>
      <c r="R84">
        <v>7.444</v>
      </c>
      <c r="S84">
        <f t="shared" si="15"/>
        <v>0</v>
      </c>
    </row>
    <row r="85" spans="1:19" x14ac:dyDescent="0.3">
      <c r="A85">
        <v>11325722</v>
      </c>
      <c r="B85">
        <f t="shared" si="16"/>
        <v>9.0999999999999998E-2</v>
      </c>
      <c r="C85">
        <f t="shared" si="17"/>
        <v>7.5350000000000001</v>
      </c>
      <c r="D85">
        <v>-0.76</v>
      </c>
      <c r="E85">
        <v>0.17</v>
      </c>
      <c r="F85">
        <v>-0.63</v>
      </c>
      <c r="G85">
        <f t="shared" si="18"/>
        <v>0</v>
      </c>
      <c r="H85">
        <f t="shared" si="19"/>
        <v>9.9999999999999811E-3</v>
      </c>
      <c r="I85">
        <f t="shared" si="20"/>
        <v>1.0000000000000009E-2</v>
      </c>
      <c r="J85">
        <f t="shared" si="12"/>
        <v>0</v>
      </c>
      <c r="K85">
        <f t="shared" si="13"/>
        <v>0</v>
      </c>
      <c r="L85">
        <f t="shared" si="14"/>
        <v>0</v>
      </c>
      <c r="M85">
        <f t="shared" si="21"/>
        <v>0</v>
      </c>
      <c r="N85">
        <f t="shared" si="22"/>
        <v>0</v>
      </c>
      <c r="O85">
        <f t="shared" si="23"/>
        <v>0</v>
      </c>
      <c r="P85">
        <v>0.42000000000000171</v>
      </c>
      <c r="R85">
        <v>7.5350000000000001</v>
      </c>
      <c r="S85">
        <f t="shared" si="15"/>
        <v>0</v>
      </c>
    </row>
    <row r="86" spans="1:19" x14ac:dyDescent="0.3">
      <c r="A86">
        <v>11325813</v>
      </c>
      <c r="B86">
        <f t="shared" si="16"/>
        <v>9.0999999999999998E-2</v>
      </c>
      <c r="C86">
        <f t="shared" si="17"/>
        <v>7.6260000000000003</v>
      </c>
      <c r="D86">
        <v>-0.76</v>
      </c>
      <c r="E86">
        <v>0.18</v>
      </c>
      <c r="F86">
        <v>-0.63</v>
      </c>
      <c r="G86">
        <f t="shared" si="18"/>
        <v>0</v>
      </c>
      <c r="H86">
        <f t="shared" si="19"/>
        <v>9.9999999999999811E-3</v>
      </c>
      <c r="I86">
        <f t="shared" si="20"/>
        <v>0</v>
      </c>
      <c r="J86">
        <f t="shared" si="12"/>
        <v>0</v>
      </c>
      <c r="K86">
        <f t="shared" si="13"/>
        <v>0</v>
      </c>
      <c r="L86">
        <f t="shared" si="14"/>
        <v>0</v>
      </c>
      <c r="M86">
        <f t="shared" si="21"/>
        <v>0</v>
      </c>
      <c r="N86">
        <f t="shared" si="22"/>
        <v>0</v>
      </c>
      <c r="O86">
        <f t="shared" si="23"/>
        <v>0</v>
      </c>
      <c r="P86">
        <v>0</v>
      </c>
      <c r="R86">
        <v>7.6260000000000003</v>
      </c>
      <c r="S86">
        <f t="shared" si="15"/>
        <v>0</v>
      </c>
    </row>
    <row r="87" spans="1:19" x14ac:dyDescent="0.3">
      <c r="A87">
        <v>11325903</v>
      </c>
      <c r="B87">
        <f t="shared" si="16"/>
        <v>0.09</v>
      </c>
      <c r="C87">
        <f t="shared" si="17"/>
        <v>7.7160000000000002</v>
      </c>
      <c r="D87">
        <v>-0.76</v>
      </c>
      <c r="E87">
        <v>0.17</v>
      </c>
      <c r="F87">
        <v>-0.62</v>
      </c>
      <c r="G87">
        <f t="shared" si="18"/>
        <v>0</v>
      </c>
      <c r="H87">
        <f t="shared" si="19"/>
        <v>9.9999999999999811E-3</v>
      </c>
      <c r="I87">
        <f t="shared" si="20"/>
        <v>1.0000000000000009E-2</v>
      </c>
      <c r="J87">
        <f t="shared" si="12"/>
        <v>0</v>
      </c>
      <c r="K87">
        <f t="shared" si="13"/>
        <v>0</v>
      </c>
      <c r="L87">
        <f t="shared" si="14"/>
        <v>0</v>
      </c>
      <c r="M87">
        <f t="shared" si="21"/>
        <v>0</v>
      </c>
      <c r="N87">
        <f t="shared" si="22"/>
        <v>0</v>
      </c>
      <c r="O87">
        <f t="shared" si="23"/>
        <v>0</v>
      </c>
      <c r="P87">
        <v>0</v>
      </c>
      <c r="R87">
        <v>7.7160000000000002</v>
      </c>
      <c r="S87">
        <f t="shared" si="15"/>
        <v>0</v>
      </c>
    </row>
    <row r="88" spans="1:19" x14ac:dyDescent="0.3">
      <c r="A88">
        <v>11325995</v>
      </c>
      <c r="B88">
        <f t="shared" si="16"/>
        <v>9.1999999999999998E-2</v>
      </c>
      <c r="C88">
        <f t="shared" si="17"/>
        <v>7.8079999999999998</v>
      </c>
      <c r="D88">
        <v>-0.76</v>
      </c>
      <c r="E88">
        <v>0.18</v>
      </c>
      <c r="F88">
        <v>-0.62</v>
      </c>
      <c r="G88">
        <f t="shared" si="18"/>
        <v>0</v>
      </c>
      <c r="H88">
        <f t="shared" si="19"/>
        <v>9.9999999999999811E-3</v>
      </c>
      <c r="I88">
        <f t="shared" si="20"/>
        <v>0</v>
      </c>
      <c r="J88">
        <f t="shared" si="12"/>
        <v>0</v>
      </c>
      <c r="K88">
        <f t="shared" si="13"/>
        <v>0</v>
      </c>
      <c r="L88">
        <f t="shared" si="14"/>
        <v>0</v>
      </c>
      <c r="M88">
        <f t="shared" si="21"/>
        <v>0</v>
      </c>
      <c r="N88">
        <f t="shared" si="22"/>
        <v>0</v>
      </c>
      <c r="O88">
        <f t="shared" si="23"/>
        <v>0</v>
      </c>
      <c r="P88">
        <v>-0.2099999999999973</v>
      </c>
      <c r="R88">
        <v>7.8079999999999998</v>
      </c>
      <c r="S88">
        <f t="shared" si="15"/>
        <v>0</v>
      </c>
    </row>
    <row r="89" spans="1:19" x14ac:dyDescent="0.3">
      <c r="A89">
        <v>11326086</v>
      </c>
      <c r="B89">
        <f t="shared" si="16"/>
        <v>9.0999999999999998E-2</v>
      </c>
      <c r="C89">
        <f t="shared" si="17"/>
        <v>7.899</v>
      </c>
      <c r="D89">
        <v>-0.77</v>
      </c>
      <c r="E89">
        <v>0.17</v>
      </c>
      <c r="F89">
        <v>-0.63</v>
      </c>
      <c r="G89">
        <f t="shared" si="18"/>
        <v>1.0000000000000009E-2</v>
      </c>
      <c r="H89">
        <f t="shared" si="19"/>
        <v>9.9999999999999811E-3</v>
      </c>
      <c r="I89">
        <f t="shared" si="20"/>
        <v>1.0000000000000009E-2</v>
      </c>
      <c r="J89">
        <f t="shared" si="12"/>
        <v>0</v>
      </c>
      <c r="K89">
        <f t="shared" si="13"/>
        <v>0</v>
      </c>
      <c r="L89">
        <f t="shared" si="14"/>
        <v>0</v>
      </c>
      <c r="M89">
        <f t="shared" si="21"/>
        <v>0</v>
      </c>
      <c r="N89">
        <f t="shared" si="22"/>
        <v>0</v>
      </c>
      <c r="O89">
        <f t="shared" si="23"/>
        <v>0</v>
      </c>
      <c r="P89">
        <v>0.42000000000000171</v>
      </c>
      <c r="R89">
        <v>7.899</v>
      </c>
      <c r="S89">
        <f t="shared" si="15"/>
        <v>0</v>
      </c>
    </row>
    <row r="90" spans="1:19" x14ac:dyDescent="0.3">
      <c r="A90">
        <v>11326176</v>
      </c>
      <c r="B90">
        <f t="shared" si="16"/>
        <v>0.09</v>
      </c>
      <c r="C90">
        <f t="shared" si="17"/>
        <v>7.9889999999999999</v>
      </c>
      <c r="D90">
        <v>-0.76</v>
      </c>
      <c r="E90">
        <v>0.18</v>
      </c>
      <c r="F90">
        <v>-0.62</v>
      </c>
      <c r="G90">
        <f t="shared" si="18"/>
        <v>1.0000000000000009E-2</v>
      </c>
      <c r="H90">
        <f t="shared" si="19"/>
        <v>9.9999999999999811E-3</v>
      </c>
      <c r="I90">
        <f t="shared" si="20"/>
        <v>1.0000000000000009E-2</v>
      </c>
      <c r="J90">
        <f t="shared" si="12"/>
        <v>0</v>
      </c>
      <c r="K90">
        <f t="shared" si="13"/>
        <v>0</v>
      </c>
      <c r="L90">
        <f t="shared" si="14"/>
        <v>0</v>
      </c>
      <c r="M90">
        <f t="shared" si="21"/>
        <v>0</v>
      </c>
      <c r="N90">
        <f t="shared" si="22"/>
        <v>0</v>
      </c>
      <c r="O90">
        <f t="shared" si="23"/>
        <v>0</v>
      </c>
      <c r="P90">
        <v>0.42000000000000171</v>
      </c>
      <c r="R90">
        <v>7.9889999999999999</v>
      </c>
      <c r="S90">
        <f t="shared" si="15"/>
        <v>0</v>
      </c>
    </row>
    <row r="91" spans="1:19" x14ac:dyDescent="0.3">
      <c r="A91">
        <v>11326267</v>
      </c>
      <c r="B91">
        <f t="shared" si="16"/>
        <v>9.0999999999999998E-2</v>
      </c>
      <c r="C91">
        <f t="shared" si="17"/>
        <v>8.08</v>
      </c>
      <c r="D91">
        <v>-0.76</v>
      </c>
      <c r="E91">
        <v>0.18</v>
      </c>
      <c r="F91">
        <v>-0.62</v>
      </c>
      <c r="G91">
        <f t="shared" si="18"/>
        <v>0</v>
      </c>
      <c r="H91">
        <f t="shared" si="19"/>
        <v>0</v>
      </c>
      <c r="I91">
        <f t="shared" si="20"/>
        <v>0</v>
      </c>
      <c r="J91">
        <f t="shared" si="12"/>
        <v>0</v>
      </c>
      <c r="K91">
        <f t="shared" si="13"/>
        <v>0</v>
      </c>
      <c r="L91">
        <f t="shared" si="14"/>
        <v>0</v>
      </c>
      <c r="M91">
        <f t="shared" si="21"/>
        <v>0</v>
      </c>
      <c r="N91">
        <f t="shared" si="22"/>
        <v>0</v>
      </c>
      <c r="O91">
        <f t="shared" si="23"/>
        <v>0</v>
      </c>
      <c r="P91">
        <v>0</v>
      </c>
      <c r="R91">
        <v>8.08</v>
      </c>
      <c r="S91">
        <f t="shared" si="15"/>
        <v>0</v>
      </c>
    </row>
    <row r="92" spans="1:19" x14ac:dyDescent="0.3">
      <c r="A92">
        <v>11326358</v>
      </c>
      <c r="B92">
        <f t="shared" si="16"/>
        <v>9.0999999999999998E-2</v>
      </c>
      <c r="C92">
        <f t="shared" si="17"/>
        <v>8.1709999999999994</v>
      </c>
      <c r="D92">
        <v>-0.76</v>
      </c>
      <c r="E92">
        <v>0.17</v>
      </c>
      <c r="F92">
        <v>-0.63</v>
      </c>
      <c r="G92">
        <f t="shared" si="18"/>
        <v>0</v>
      </c>
      <c r="H92">
        <f t="shared" si="19"/>
        <v>9.9999999999999811E-3</v>
      </c>
      <c r="I92">
        <f t="shared" si="20"/>
        <v>1.0000000000000009E-2</v>
      </c>
      <c r="J92">
        <f t="shared" si="12"/>
        <v>0</v>
      </c>
      <c r="K92">
        <f t="shared" si="13"/>
        <v>0</v>
      </c>
      <c r="L92">
        <f t="shared" si="14"/>
        <v>0</v>
      </c>
      <c r="M92">
        <f t="shared" si="21"/>
        <v>0</v>
      </c>
      <c r="N92">
        <f t="shared" si="22"/>
        <v>0</v>
      </c>
      <c r="O92">
        <f t="shared" si="23"/>
        <v>0</v>
      </c>
      <c r="P92">
        <v>0.42000000000000171</v>
      </c>
      <c r="R92">
        <v>8.1709999999999994</v>
      </c>
      <c r="S92">
        <f t="shared" si="15"/>
        <v>0</v>
      </c>
    </row>
    <row r="93" spans="1:19" x14ac:dyDescent="0.3">
      <c r="A93">
        <v>11326448</v>
      </c>
      <c r="B93">
        <f t="shared" si="16"/>
        <v>0.09</v>
      </c>
      <c r="C93">
        <f t="shared" si="17"/>
        <v>8.2609999999999992</v>
      </c>
      <c r="D93">
        <v>-0.76</v>
      </c>
      <c r="E93">
        <v>0.17</v>
      </c>
      <c r="F93">
        <v>-0.62</v>
      </c>
      <c r="G93">
        <f t="shared" si="18"/>
        <v>0</v>
      </c>
      <c r="H93">
        <f t="shared" si="19"/>
        <v>0</v>
      </c>
      <c r="I93">
        <f t="shared" si="20"/>
        <v>1.0000000000000009E-2</v>
      </c>
      <c r="J93">
        <f t="shared" si="12"/>
        <v>0</v>
      </c>
      <c r="K93">
        <f t="shared" si="13"/>
        <v>0</v>
      </c>
      <c r="L93">
        <f t="shared" si="14"/>
        <v>0</v>
      </c>
      <c r="M93">
        <f t="shared" si="21"/>
        <v>0</v>
      </c>
      <c r="N93">
        <f t="shared" si="22"/>
        <v>0</v>
      </c>
      <c r="O93">
        <f t="shared" si="23"/>
        <v>0</v>
      </c>
      <c r="P93">
        <v>0.42000000000000171</v>
      </c>
      <c r="R93">
        <v>8.2609999999999992</v>
      </c>
      <c r="S93">
        <f t="shared" si="15"/>
        <v>0</v>
      </c>
    </row>
    <row r="94" spans="1:19" x14ac:dyDescent="0.3">
      <c r="A94">
        <v>11326539</v>
      </c>
      <c r="B94">
        <f t="shared" si="16"/>
        <v>9.0999999999999998E-2</v>
      </c>
      <c r="C94">
        <f t="shared" si="17"/>
        <v>8.3520000000000003</v>
      </c>
      <c r="D94">
        <v>-0.76</v>
      </c>
      <c r="E94">
        <v>0.18</v>
      </c>
      <c r="F94">
        <v>-0.62</v>
      </c>
      <c r="G94">
        <f t="shared" si="18"/>
        <v>0</v>
      </c>
      <c r="H94">
        <f t="shared" si="19"/>
        <v>9.9999999999999811E-3</v>
      </c>
      <c r="I94">
        <f t="shared" si="20"/>
        <v>0</v>
      </c>
      <c r="J94">
        <f t="shared" si="12"/>
        <v>0</v>
      </c>
      <c r="K94">
        <f t="shared" si="13"/>
        <v>0</v>
      </c>
      <c r="L94">
        <f t="shared" si="14"/>
        <v>0</v>
      </c>
      <c r="M94">
        <f t="shared" si="21"/>
        <v>0</v>
      </c>
      <c r="N94">
        <f t="shared" si="22"/>
        <v>0</v>
      </c>
      <c r="O94">
        <f t="shared" si="23"/>
        <v>0</v>
      </c>
      <c r="P94">
        <v>0.83000000000000185</v>
      </c>
      <c r="R94">
        <v>8.3520000000000003</v>
      </c>
      <c r="S94">
        <f t="shared" si="15"/>
        <v>0</v>
      </c>
    </row>
    <row r="95" spans="1:19" x14ac:dyDescent="0.3">
      <c r="A95">
        <v>11326630</v>
      </c>
      <c r="B95">
        <f t="shared" si="16"/>
        <v>9.0999999999999998E-2</v>
      </c>
      <c r="C95">
        <f t="shared" si="17"/>
        <v>8.4429999999999996</v>
      </c>
      <c r="D95">
        <v>-0.76</v>
      </c>
      <c r="E95">
        <v>0.18</v>
      </c>
      <c r="F95">
        <v>-0.62</v>
      </c>
      <c r="G95">
        <f t="shared" si="18"/>
        <v>0</v>
      </c>
      <c r="H95">
        <f t="shared" si="19"/>
        <v>0</v>
      </c>
      <c r="I95">
        <f t="shared" si="20"/>
        <v>0</v>
      </c>
      <c r="J95">
        <f t="shared" si="12"/>
        <v>0</v>
      </c>
      <c r="K95">
        <f t="shared" si="13"/>
        <v>0</v>
      </c>
      <c r="L95">
        <f t="shared" si="14"/>
        <v>0</v>
      </c>
      <c r="M95">
        <f t="shared" si="21"/>
        <v>0</v>
      </c>
      <c r="N95">
        <f t="shared" si="22"/>
        <v>0</v>
      </c>
      <c r="O95">
        <f t="shared" si="23"/>
        <v>0</v>
      </c>
      <c r="P95">
        <v>0.83000000000000185</v>
      </c>
      <c r="R95">
        <v>8.4429999999999996</v>
      </c>
      <c r="S95">
        <f t="shared" si="15"/>
        <v>0</v>
      </c>
    </row>
    <row r="96" spans="1:19" x14ac:dyDescent="0.3">
      <c r="A96">
        <v>11326721</v>
      </c>
      <c r="B96">
        <f t="shared" si="16"/>
        <v>9.0999999999999998E-2</v>
      </c>
      <c r="C96">
        <f t="shared" si="17"/>
        <v>8.5340000000000007</v>
      </c>
      <c r="D96">
        <v>-0.76</v>
      </c>
      <c r="E96">
        <v>0.18</v>
      </c>
      <c r="F96">
        <v>-0.63</v>
      </c>
      <c r="G96">
        <f t="shared" si="18"/>
        <v>0</v>
      </c>
      <c r="H96">
        <f t="shared" si="19"/>
        <v>0</v>
      </c>
      <c r="I96">
        <f t="shared" si="20"/>
        <v>1.0000000000000009E-2</v>
      </c>
      <c r="J96">
        <f t="shared" si="12"/>
        <v>0</v>
      </c>
      <c r="K96">
        <f t="shared" si="13"/>
        <v>0</v>
      </c>
      <c r="L96">
        <f t="shared" si="14"/>
        <v>0</v>
      </c>
      <c r="M96">
        <f t="shared" si="21"/>
        <v>0</v>
      </c>
      <c r="N96">
        <f t="shared" si="22"/>
        <v>0</v>
      </c>
      <c r="O96">
        <f t="shared" si="23"/>
        <v>0</v>
      </c>
      <c r="P96">
        <v>0.42000000000000171</v>
      </c>
      <c r="R96">
        <v>8.5340000000000007</v>
      </c>
      <c r="S96">
        <f t="shared" si="15"/>
        <v>0</v>
      </c>
    </row>
    <row r="97" spans="1:19" x14ac:dyDescent="0.3">
      <c r="A97">
        <v>11326812</v>
      </c>
      <c r="B97">
        <f t="shared" si="16"/>
        <v>9.0999999999999998E-2</v>
      </c>
      <c r="C97">
        <f t="shared" si="17"/>
        <v>8.625</v>
      </c>
      <c r="D97">
        <v>-0.76</v>
      </c>
      <c r="E97">
        <v>0.18</v>
      </c>
      <c r="F97">
        <v>-0.62</v>
      </c>
      <c r="G97">
        <f t="shared" si="18"/>
        <v>0</v>
      </c>
      <c r="H97">
        <f t="shared" si="19"/>
        <v>0</v>
      </c>
      <c r="I97">
        <f t="shared" si="20"/>
        <v>1.0000000000000009E-2</v>
      </c>
      <c r="J97">
        <f t="shared" si="12"/>
        <v>0</v>
      </c>
      <c r="K97">
        <f t="shared" si="13"/>
        <v>0</v>
      </c>
      <c r="L97">
        <f t="shared" si="14"/>
        <v>0</v>
      </c>
      <c r="M97">
        <f t="shared" si="21"/>
        <v>0</v>
      </c>
      <c r="N97">
        <f t="shared" si="22"/>
        <v>0</v>
      </c>
      <c r="O97">
        <f t="shared" si="23"/>
        <v>0</v>
      </c>
      <c r="P97">
        <v>0.42000000000000171</v>
      </c>
      <c r="R97">
        <v>8.625</v>
      </c>
      <c r="S97">
        <f t="shared" si="15"/>
        <v>0</v>
      </c>
    </row>
    <row r="98" spans="1:19" x14ac:dyDescent="0.3">
      <c r="A98">
        <v>11326903</v>
      </c>
      <c r="B98">
        <f t="shared" si="16"/>
        <v>9.0999999999999998E-2</v>
      </c>
      <c r="C98">
        <f t="shared" si="17"/>
        <v>8.7159999999999993</v>
      </c>
      <c r="D98">
        <v>-0.76</v>
      </c>
      <c r="E98">
        <v>0.17</v>
      </c>
      <c r="F98">
        <v>-0.62</v>
      </c>
      <c r="G98">
        <f t="shared" si="18"/>
        <v>0</v>
      </c>
      <c r="H98">
        <f t="shared" si="19"/>
        <v>9.9999999999999811E-3</v>
      </c>
      <c r="I98">
        <f t="shared" si="20"/>
        <v>0</v>
      </c>
      <c r="J98">
        <f t="shared" si="12"/>
        <v>0</v>
      </c>
      <c r="K98">
        <f t="shared" si="13"/>
        <v>0</v>
      </c>
      <c r="L98">
        <f t="shared" si="14"/>
        <v>0</v>
      </c>
      <c r="M98">
        <f t="shared" si="21"/>
        <v>0</v>
      </c>
      <c r="N98">
        <f t="shared" si="22"/>
        <v>0</v>
      </c>
      <c r="O98">
        <f t="shared" si="23"/>
        <v>0</v>
      </c>
      <c r="P98">
        <v>0.42000000000000171</v>
      </c>
      <c r="R98">
        <v>8.7159999999999993</v>
      </c>
      <c r="S98">
        <f t="shared" si="15"/>
        <v>0</v>
      </c>
    </row>
    <row r="99" spans="1:19" x14ac:dyDescent="0.3">
      <c r="A99">
        <v>11326993</v>
      </c>
      <c r="B99">
        <f t="shared" si="16"/>
        <v>0.09</v>
      </c>
      <c r="C99">
        <f t="shared" si="17"/>
        <v>8.8059999999999992</v>
      </c>
      <c r="D99">
        <v>-0.76</v>
      </c>
      <c r="E99">
        <v>0.18</v>
      </c>
      <c r="F99">
        <v>-0.63</v>
      </c>
      <c r="G99">
        <f t="shared" si="18"/>
        <v>0</v>
      </c>
      <c r="H99">
        <f t="shared" si="19"/>
        <v>9.9999999999999811E-3</v>
      </c>
      <c r="I99">
        <f t="shared" si="20"/>
        <v>1.0000000000000009E-2</v>
      </c>
      <c r="J99">
        <f t="shared" si="12"/>
        <v>0</v>
      </c>
      <c r="K99">
        <f t="shared" si="13"/>
        <v>0</v>
      </c>
      <c r="L99">
        <f t="shared" si="14"/>
        <v>0</v>
      </c>
      <c r="M99">
        <f t="shared" si="21"/>
        <v>0</v>
      </c>
      <c r="N99">
        <f t="shared" si="22"/>
        <v>0</v>
      </c>
      <c r="O99">
        <f t="shared" si="23"/>
        <v>0</v>
      </c>
      <c r="P99">
        <v>0</v>
      </c>
      <c r="R99">
        <v>8.8059999999999992</v>
      </c>
      <c r="S99">
        <f t="shared" si="15"/>
        <v>0</v>
      </c>
    </row>
    <row r="100" spans="1:19" x14ac:dyDescent="0.3">
      <c r="A100">
        <v>11327084</v>
      </c>
      <c r="B100">
        <f t="shared" si="16"/>
        <v>9.0999999999999998E-2</v>
      </c>
      <c r="C100">
        <f t="shared" si="17"/>
        <v>8.8970000000000002</v>
      </c>
      <c r="D100">
        <v>-0.76</v>
      </c>
      <c r="E100">
        <v>0.17</v>
      </c>
      <c r="F100">
        <v>-0.63</v>
      </c>
      <c r="G100">
        <f t="shared" si="18"/>
        <v>0</v>
      </c>
      <c r="H100">
        <f t="shared" si="19"/>
        <v>9.9999999999999811E-3</v>
      </c>
      <c r="I100">
        <f t="shared" si="20"/>
        <v>0</v>
      </c>
      <c r="J100">
        <f t="shared" si="12"/>
        <v>0</v>
      </c>
      <c r="K100">
        <f t="shared" si="13"/>
        <v>0</v>
      </c>
      <c r="L100">
        <f t="shared" si="14"/>
        <v>0</v>
      </c>
      <c r="M100">
        <f t="shared" si="21"/>
        <v>0</v>
      </c>
      <c r="N100">
        <f t="shared" si="22"/>
        <v>0</v>
      </c>
      <c r="O100">
        <f t="shared" si="23"/>
        <v>0</v>
      </c>
      <c r="P100">
        <v>0</v>
      </c>
      <c r="R100">
        <v>8.8970000000000002</v>
      </c>
      <c r="S100">
        <f t="shared" si="15"/>
        <v>0</v>
      </c>
    </row>
    <row r="101" spans="1:19" x14ac:dyDescent="0.3">
      <c r="A101">
        <v>11327175</v>
      </c>
      <c r="B101">
        <f t="shared" si="16"/>
        <v>9.0999999999999998E-2</v>
      </c>
      <c r="C101">
        <f t="shared" si="17"/>
        <v>8.9879999999999995</v>
      </c>
      <c r="D101">
        <v>-0.76</v>
      </c>
      <c r="E101">
        <v>0.18</v>
      </c>
      <c r="F101">
        <v>-0.62</v>
      </c>
      <c r="G101">
        <f t="shared" si="18"/>
        <v>0</v>
      </c>
      <c r="H101">
        <f t="shared" si="19"/>
        <v>9.9999999999999811E-3</v>
      </c>
      <c r="I101">
        <f t="shared" si="20"/>
        <v>1.0000000000000009E-2</v>
      </c>
      <c r="J101">
        <f t="shared" si="12"/>
        <v>0</v>
      </c>
      <c r="K101">
        <f t="shared" si="13"/>
        <v>0</v>
      </c>
      <c r="L101">
        <f t="shared" si="14"/>
        <v>0</v>
      </c>
      <c r="M101">
        <f t="shared" si="21"/>
        <v>0</v>
      </c>
      <c r="N101">
        <f t="shared" si="22"/>
        <v>0</v>
      </c>
      <c r="O101">
        <f t="shared" si="23"/>
        <v>0</v>
      </c>
      <c r="P101">
        <v>0.42000000000000171</v>
      </c>
      <c r="R101">
        <v>8.9879999999999995</v>
      </c>
      <c r="S101">
        <f t="shared" si="15"/>
        <v>0</v>
      </c>
    </row>
    <row r="102" spans="1:19" x14ac:dyDescent="0.3">
      <c r="A102">
        <v>11327265</v>
      </c>
      <c r="B102">
        <f t="shared" si="16"/>
        <v>0.09</v>
      </c>
      <c r="C102">
        <f t="shared" si="17"/>
        <v>9.0779999999999994</v>
      </c>
      <c r="D102">
        <v>-0.76</v>
      </c>
      <c r="E102">
        <v>0.18</v>
      </c>
      <c r="F102">
        <v>-0.62</v>
      </c>
      <c r="G102">
        <f t="shared" si="18"/>
        <v>0</v>
      </c>
      <c r="H102">
        <f t="shared" si="19"/>
        <v>0</v>
      </c>
      <c r="I102">
        <f t="shared" si="20"/>
        <v>0</v>
      </c>
      <c r="J102">
        <f t="shared" si="12"/>
        <v>0</v>
      </c>
      <c r="K102">
        <f t="shared" si="13"/>
        <v>0</v>
      </c>
      <c r="L102">
        <f t="shared" si="14"/>
        <v>0</v>
      </c>
      <c r="M102">
        <f t="shared" si="21"/>
        <v>0</v>
      </c>
      <c r="N102">
        <f t="shared" si="22"/>
        <v>0</v>
      </c>
      <c r="O102">
        <f t="shared" si="23"/>
        <v>0</v>
      </c>
      <c r="P102">
        <v>0.21000000000000085</v>
      </c>
      <c r="R102">
        <v>9.0779999999999994</v>
      </c>
      <c r="S102">
        <f t="shared" si="15"/>
        <v>0</v>
      </c>
    </row>
    <row r="103" spans="1:19" x14ac:dyDescent="0.3">
      <c r="A103">
        <v>11327356</v>
      </c>
      <c r="B103">
        <f t="shared" si="16"/>
        <v>9.0999999999999998E-2</v>
      </c>
      <c r="C103">
        <f t="shared" si="17"/>
        <v>9.1690000000000005</v>
      </c>
      <c r="D103">
        <v>-0.76</v>
      </c>
      <c r="E103">
        <v>0.17</v>
      </c>
      <c r="F103">
        <v>-0.63</v>
      </c>
      <c r="G103">
        <f t="shared" si="18"/>
        <v>0</v>
      </c>
      <c r="H103">
        <f t="shared" si="19"/>
        <v>9.9999999999999811E-3</v>
      </c>
      <c r="I103">
        <f t="shared" si="20"/>
        <v>1.0000000000000009E-2</v>
      </c>
      <c r="J103">
        <f t="shared" si="12"/>
        <v>0</v>
      </c>
      <c r="K103">
        <f t="shared" si="13"/>
        <v>0</v>
      </c>
      <c r="L103">
        <f t="shared" si="14"/>
        <v>0</v>
      </c>
      <c r="M103">
        <f t="shared" si="21"/>
        <v>0</v>
      </c>
      <c r="N103">
        <f t="shared" si="22"/>
        <v>0</v>
      </c>
      <c r="O103">
        <f t="shared" si="23"/>
        <v>0</v>
      </c>
      <c r="P103">
        <v>0.42000000000000171</v>
      </c>
      <c r="R103">
        <v>9.1690000000000005</v>
      </c>
      <c r="S103">
        <f t="shared" si="15"/>
        <v>0</v>
      </c>
    </row>
    <row r="104" spans="1:19" x14ac:dyDescent="0.3">
      <c r="A104">
        <v>11327448</v>
      </c>
      <c r="B104">
        <f t="shared" si="16"/>
        <v>9.1999999999999998E-2</v>
      </c>
      <c r="C104">
        <f t="shared" si="17"/>
        <v>9.2609999999999992</v>
      </c>
      <c r="D104">
        <v>-0.76</v>
      </c>
      <c r="E104">
        <v>0.18</v>
      </c>
      <c r="F104">
        <v>-0.63</v>
      </c>
      <c r="G104">
        <f t="shared" si="18"/>
        <v>0</v>
      </c>
      <c r="H104">
        <f t="shared" si="19"/>
        <v>9.9999999999999811E-3</v>
      </c>
      <c r="I104">
        <f t="shared" si="20"/>
        <v>0</v>
      </c>
      <c r="J104">
        <f t="shared" si="12"/>
        <v>0</v>
      </c>
      <c r="K104">
        <f t="shared" si="13"/>
        <v>0</v>
      </c>
      <c r="L104">
        <f t="shared" si="14"/>
        <v>0</v>
      </c>
      <c r="M104">
        <f t="shared" si="21"/>
        <v>0</v>
      </c>
      <c r="N104">
        <f t="shared" si="22"/>
        <v>0</v>
      </c>
      <c r="O104">
        <f t="shared" si="23"/>
        <v>0</v>
      </c>
      <c r="P104">
        <v>0.42000000000000171</v>
      </c>
      <c r="R104">
        <v>9.2609999999999992</v>
      </c>
      <c r="S104">
        <f t="shared" si="15"/>
        <v>0</v>
      </c>
    </row>
    <row r="105" spans="1:19" x14ac:dyDescent="0.3">
      <c r="A105">
        <v>11327538</v>
      </c>
      <c r="B105">
        <f t="shared" si="16"/>
        <v>0.09</v>
      </c>
      <c r="C105">
        <f t="shared" si="17"/>
        <v>9.3510000000000009</v>
      </c>
      <c r="D105">
        <v>-0.76</v>
      </c>
      <c r="E105">
        <v>0.18</v>
      </c>
      <c r="F105">
        <v>-0.62</v>
      </c>
      <c r="G105">
        <f t="shared" si="18"/>
        <v>0</v>
      </c>
      <c r="H105">
        <f t="shared" si="19"/>
        <v>0</v>
      </c>
      <c r="I105">
        <f t="shared" si="20"/>
        <v>1.0000000000000009E-2</v>
      </c>
      <c r="J105">
        <f t="shared" si="12"/>
        <v>0</v>
      </c>
      <c r="K105">
        <f t="shared" si="13"/>
        <v>0</v>
      </c>
      <c r="L105">
        <f t="shared" si="14"/>
        <v>0</v>
      </c>
      <c r="M105">
        <f t="shared" si="21"/>
        <v>0</v>
      </c>
      <c r="N105">
        <f t="shared" si="22"/>
        <v>0</v>
      </c>
      <c r="O105">
        <f t="shared" si="23"/>
        <v>0</v>
      </c>
      <c r="P105">
        <v>-0.2099999999999973</v>
      </c>
      <c r="R105">
        <v>9.3510000000000009</v>
      </c>
      <c r="S105">
        <f t="shared" si="15"/>
        <v>0</v>
      </c>
    </row>
    <row r="106" spans="1:19" x14ac:dyDescent="0.3">
      <c r="A106">
        <v>11327629</v>
      </c>
      <c r="B106">
        <f t="shared" si="16"/>
        <v>9.0999999999999998E-2</v>
      </c>
      <c r="C106">
        <f t="shared" si="17"/>
        <v>9.4420000000000002</v>
      </c>
      <c r="D106">
        <v>-0.76</v>
      </c>
      <c r="E106">
        <v>0.18</v>
      </c>
      <c r="F106">
        <v>-0.63</v>
      </c>
      <c r="G106">
        <f t="shared" si="18"/>
        <v>0</v>
      </c>
      <c r="H106">
        <f t="shared" si="19"/>
        <v>0</v>
      </c>
      <c r="I106">
        <f t="shared" si="20"/>
        <v>1.0000000000000009E-2</v>
      </c>
      <c r="J106">
        <f t="shared" si="12"/>
        <v>0</v>
      </c>
      <c r="K106">
        <f t="shared" si="13"/>
        <v>0</v>
      </c>
      <c r="L106">
        <f t="shared" si="14"/>
        <v>0</v>
      </c>
      <c r="M106">
        <f t="shared" si="21"/>
        <v>0</v>
      </c>
      <c r="N106">
        <f t="shared" si="22"/>
        <v>0</v>
      </c>
      <c r="O106">
        <f t="shared" si="23"/>
        <v>0</v>
      </c>
      <c r="P106">
        <v>0</v>
      </c>
      <c r="R106">
        <v>9.4420000000000002</v>
      </c>
      <c r="S106">
        <f t="shared" si="15"/>
        <v>0</v>
      </c>
    </row>
    <row r="107" spans="1:19" x14ac:dyDescent="0.3">
      <c r="A107">
        <v>11327720</v>
      </c>
      <c r="B107">
        <f t="shared" si="16"/>
        <v>9.0999999999999998E-2</v>
      </c>
      <c r="C107">
        <f t="shared" si="17"/>
        <v>9.5329999999999995</v>
      </c>
      <c r="D107">
        <v>-0.76</v>
      </c>
      <c r="E107">
        <v>0.18</v>
      </c>
      <c r="F107">
        <v>-0.62</v>
      </c>
      <c r="G107">
        <f t="shared" si="18"/>
        <v>0</v>
      </c>
      <c r="H107">
        <f t="shared" si="19"/>
        <v>0</v>
      </c>
      <c r="I107">
        <f t="shared" si="20"/>
        <v>1.0000000000000009E-2</v>
      </c>
      <c r="J107">
        <f t="shared" si="12"/>
        <v>0</v>
      </c>
      <c r="K107">
        <f t="shared" si="13"/>
        <v>0</v>
      </c>
      <c r="L107">
        <f t="shared" si="14"/>
        <v>0</v>
      </c>
      <c r="M107">
        <f t="shared" si="21"/>
        <v>0</v>
      </c>
      <c r="N107">
        <f t="shared" si="22"/>
        <v>0</v>
      </c>
      <c r="O107">
        <f t="shared" si="23"/>
        <v>0</v>
      </c>
      <c r="P107">
        <v>0</v>
      </c>
      <c r="R107">
        <v>9.5329999999999995</v>
      </c>
      <c r="S107">
        <f t="shared" si="15"/>
        <v>0</v>
      </c>
    </row>
    <row r="108" spans="1:19" x14ac:dyDescent="0.3">
      <c r="A108">
        <v>11327810</v>
      </c>
      <c r="B108">
        <f t="shared" si="16"/>
        <v>0.09</v>
      </c>
      <c r="C108">
        <f t="shared" si="17"/>
        <v>9.6229999999999993</v>
      </c>
      <c r="D108">
        <v>-0.76</v>
      </c>
      <c r="E108">
        <v>0.18</v>
      </c>
      <c r="F108">
        <v>-0.62</v>
      </c>
      <c r="G108">
        <f t="shared" si="18"/>
        <v>0</v>
      </c>
      <c r="H108">
        <f t="shared" si="19"/>
        <v>0</v>
      </c>
      <c r="I108">
        <f t="shared" si="20"/>
        <v>0</v>
      </c>
      <c r="J108">
        <f t="shared" si="12"/>
        <v>0</v>
      </c>
      <c r="K108">
        <f t="shared" si="13"/>
        <v>0</v>
      </c>
      <c r="L108">
        <f t="shared" si="14"/>
        <v>0</v>
      </c>
      <c r="M108">
        <f t="shared" si="21"/>
        <v>0</v>
      </c>
      <c r="N108">
        <f t="shared" si="22"/>
        <v>0</v>
      </c>
      <c r="O108">
        <f t="shared" si="23"/>
        <v>0</v>
      </c>
      <c r="P108">
        <v>0.21000000000000085</v>
      </c>
      <c r="R108">
        <v>9.6229999999999993</v>
      </c>
      <c r="S108">
        <f t="shared" si="15"/>
        <v>0</v>
      </c>
    </row>
    <row r="109" spans="1:19" x14ac:dyDescent="0.3">
      <c r="A109">
        <v>11327901</v>
      </c>
      <c r="B109">
        <f t="shared" si="16"/>
        <v>9.0999999999999998E-2</v>
      </c>
      <c r="C109">
        <f t="shared" si="17"/>
        <v>9.7140000000000004</v>
      </c>
      <c r="D109">
        <v>-0.76</v>
      </c>
      <c r="E109">
        <v>0.18</v>
      </c>
      <c r="F109">
        <v>-0.62</v>
      </c>
      <c r="G109">
        <f t="shared" si="18"/>
        <v>0</v>
      </c>
      <c r="H109">
        <f t="shared" si="19"/>
        <v>0</v>
      </c>
      <c r="I109">
        <f t="shared" si="20"/>
        <v>0</v>
      </c>
      <c r="J109">
        <f t="shared" si="12"/>
        <v>0</v>
      </c>
      <c r="K109">
        <f t="shared" si="13"/>
        <v>0</v>
      </c>
      <c r="L109">
        <f t="shared" si="14"/>
        <v>0</v>
      </c>
      <c r="M109">
        <f t="shared" si="21"/>
        <v>0</v>
      </c>
      <c r="N109">
        <f t="shared" si="22"/>
        <v>0</v>
      </c>
      <c r="O109">
        <f t="shared" si="23"/>
        <v>0</v>
      </c>
      <c r="P109">
        <v>0.21000000000000085</v>
      </c>
      <c r="R109">
        <v>9.7140000000000004</v>
      </c>
      <c r="S109">
        <f t="shared" si="15"/>
        <v>0</v>
      </c>
    </row>
    <row r="110" spans="1:19" x14ac:dyDescent="0.3">
      <c r="A110">
        <v>11327992</v>
      </c>
      <c r="B110">
        <f t="shared" si="16"/>
        <v>9.0999999999999998E-2</v>
      </c>
      <c r="C110">
        <f t="shared" si="17"/>
        <v>9.8049999999999997</v>
      </c>
      <c r="D110">
        <v>-0.76</v>
      </c>
      <c r="E110">
        <v>0.18</v>
      </c>
      <c r="F110">
        <v>-0.62</v>
      </c>
      <c r="G110">
        <f t="shared" si="18"/>
        <v>0</v>
      </c>
      <c r="H110">
        <f t="shared" si="19"/>
        <v>0</v>
      </c>
      <c r="I110">
        <f t="shared" si="20"/>
        <v>0</v>
      </c>
      <c r="J110">
        <f t="shared" si="12"/>
        <v>0</v>
      </c>
      <c r="K110">
        <f t="shared" si="13"/>
        <v>0</v>
      </c>
      <c r="L110">
        <f t="shared" si="14"/>
        <v>0</v>
      </c>
      <c r="M110">
        <f t="shared" si="21"/>
        <v>0</v>
      </c>
      <c r="N110">
        <f t="shared" si="22"/>
        <v>0</v>
      </c>
      <c r="O110">
        <f t="shared" si="23"/>
        <v>0</v>
      </c>
      <c r="P110">
        <v>0.21000000000000085</v>
      </c>
      <c r="R110">
        <v>9.8049999999999997</v>
      </c>
      <c r="S110">
        <f t="shared" si="15"/>
        <v>0</v>
      </c>
    </row>
    <row r="111" spans="1:19" x14ac:dyDescent="0.3">
      <c r="A111">
        <v>11328082</v>
      </c>
      <c r="B111">
        <f t="shared" si="16"/>
        <v>0.09</v>
      </c>
      <c r="C111">
        <f t="shared" si="17"/>
        <v>9.8949999999999996</v>
      </c>
      <c r="D111">
        <v>-0.76</v>
      </c>
      <c r="E111">
        <v>0.17</v>
      </c>
      <c r="F111">
        <v>-0.63</v>
      </c>
      <c r="G111">
        <f t="shared" si="18"/>
        <v>0</v>
      </c>
      <c r="H111">
        <f t="shared" si="19"/>
        <v>9.9999999999999811E-3</v>
      </c>
      <c r="I111">
        <f t="shared" si="20"/>
        <v>1.0000000000000009E-2</v>
      </c>
      <c r="J111">
        <f t="shared" si="12"/>
        <v>0</v>
      </c>
      <c r="K111">
        <f t="shared" si="13"/>
        <v>0</v>
      </c>
      <c r="L111">
        <f t="shared" si="14"/>
        <v>0</v>
      </c>
      <c r="M111">
        <f t="shared" si="21"/>
        <v>0</v>
      </c>
      <c r="N111">
        <f t="shared" si="22"/>
        <v>0</v>
      </c>
      <c r="O111">
        <f t="shared" si="23"/>
        <v>0</v>
      </c>
      <c r="P111">
        <v>0.21000000000000085</v>
      </c>
      <c r="R111">
        <v>9.8949999999999996</v>
      </c>
      <c r="S111">
        <f t="shared" si="15"/>
        <v>0</v>
      </c>
    </row>
    <row r="112" spans="1:19" x14ac:dyDescent="0.3">
      <c r="A112">
        <v>11328174</v>
      </c>
      <c r="B112">
        <f t="shared" si="16"/>
        <v>9.1999999999999998E-2</v>
      </c>
      <c r="C112">
        <f t="shared" si="17"/>
        <v>9.9870000000000001</v>
      </c>
      <c r="D112">
        <v>-0.77</v>
      </c>
      <c r="E112">
        <v>0.18</v>
      </c>
      <c r="F112">
        <v>-0.62</v>
      </c>
      <c r="G112">
        <f t="shared" si="18"/>
        <v>1.0000000000000009E-2</v>
      </c>
      <c r="H112">
        <f t="shared" si="19"/>
        <v>9.9999999999999811E-3</v>
      </c>
      <c r="I112">
        <f t="shared" si="20"/>
        <v>1.0000000000000009E-2</v>
      </c>
      <c r="J112">
        <f t="shared" si="12"/>
        <v>0</v>
      </c>
      <c r="K112">
        <f t="shared" si="13"/>
        <v>0</v>
      </c>
      <c r="L112">
        <f t="shared" si="14"/>
        <v>0</v>
      </c>
      <c r="M112">
        <f t="shared" si="21"/>
        <v>0</v>
      </c>
      <c r="N112">
        <f t="shared" si="22"/>
        <v>0</v>
      </c>
      <c r="O112">
        <f t="shared" si="23"/>
        <v>0</v>
      </c>
      <c r="P112">
        <v>0.21000000000000085</v>
      </c>
      <c r="R112">
        <v>9.9870000000000001</v>
      </c>
      <c r="S112">
        <f t="shared" si="15"/>
        <v>0</v>
      </c>
    </row>
    <row r="113" spans="1:19" x14ac:dyDescent="0.3">
      <c r="A113">
        <v>11328265</v>
      </c>
      <c r="B113">
        <f t="shared" si="16"/>
        <v>9.0999999999999998E-2</v>
      </c>
      <c r="C113">
        <f t="shared" si="17"/>
        <v>10.077999999999999</v>
      </c>
      <c r="D113">
        <v>-0.76</v>
      </c>
      <c r="E113">
        <v>0.17</v>
      </c>
      <c r="F113">
        <v>-0.63</v>
      </c>
      <c r="G113">
        <f t="shared" si="18"/>
        <v>1.0000000000000009E-2</v>
      </c>
      <c r="H113">
        <f t="shared" si="19"/>
        <v>9.9999999999999811E-3</v>
      </c>
      <c r="I113">
        <f t="shared" si="20"/>
        <v>1.0000000000000009E-2</v>
      </c>
      <c r="J113">
        <f t="shared" si="12"/>
        <v>0</v>
      </c>
      <c r="K113">
        <f t="shared" si="13"/>
        <v>0</v>
      </c>
      <c r="L113">
        <f t="shared" si="14"/>
        <v>0</v>
      </c>
      <c r="M113">
        <f t="shared" si="21"/>
        <v>0</v>
      </c>
      <c r="N113">
        <f t="shared" si="22"/>
        <v>0</v>
      </c>
      <c r="O113">
        <f t="shared" si="23"/>
        <v>0</v>
      </c>
      <c r="P113">
        <v>0.42000000000000171</v>
      </c>
      <c r="R113">
        <v>10.077999999999999</v>
      </c>
      <c r="S113">
        <f t="shared" si="15"/>
        <v>0</v>
      </c>
    </row>
    <row r="114" spans="1:19" x14ac:dyDescent="0.3">
      <c r="A114">
        <v>11328355</v>
      </c>
      <c r="B114">
        <f t="shared" si="16"/>
        <v>0.09</v>
      </c>
      <c r="C114">
        <f t="shared" si="17"/>
        <v>10.167999999999999</v>
      </c>
      <c r="D114">
        <v>-0.76</v>
      </c>
      <c r="E114">
        <v>0.17</v>
      </c>
      <c r="F114">
        <v>-0.62</v>
      </c>
      <c r="G114">
        <f t="shared" si="18"/>
        <v>0</v>
      </c>
      <c r="H114">
        <f t="shared" si="19"/>
        <v>0</v>
      </c>
      <c r="I114">
        <f t="shared" si="20"/>
        <v>1.0000000000000009E-2</v>
      </c>
      <c r="J114">
        <f t="shared" si="12"/>
        <v>0</v>
      </c>
      <c r="K114">
        <f t="shared" si="13"/>
        <v>0</v>
      </c>
      <c r="L114">
        <f t="shared" si="14"/>
        <v>0</v>
      </c>
      <c r="M114">
        <f t="shared" si="21"/>
        <v>0</v>
      </c>
      <c r="N114">
        <f t="shared" si="22"/>
        <v>0</v>
      </c>
      <c r="O114">
        <f t="shared" si="23"/>
        <v>0</v>
      </c>
      <c r="P114">
        <v>0.21000000000000085</v>
      </c>
      <c r="R114">
        <v>10.167999999999999</v>
      </c>
      <c r="S114">
        <f t="shared" si="15"/>
        <v>0</v>
      </c>
    </row>
    <row r="115" spans="1:19" x14ac:dyDescent="0.3">
      <c r="A115">
        <v>11328446</v>
      </c>
      <c r="B115">
        <f t="shared" si="16"/>
        <v>9.0999999999999998E-2</v>
      </c>
      <c r="C115">
        <f t="shared" si="17"/>
        <v>10.259</v>
      </c>
      <c r="D115">
        <v>-0.76</v>
      </c>
      <c r="E115">
        <v>0.18</v>
      </c>
      <c r="F115">
        <v>-0.63</v>
      </c>
      <c r="G115">
        <f t="shared" si="18"/>
        <v>0</v>
      </c>
      <c r="H115">
        <f t="shared" si="19"/>
        <v>9.9999999999999811E-3</v>
      </c>
      <c r="I115">
        <f t="shared" si="20"/>
        <v>1.0000000000000009E-2</v>
      </c>
      <c r="J115">
        <f t="shared" si="12"/>
        <v>0</v>
      </c>
      <c r="K115">
        <f t="shared" si="13"/>
        <v>0</v>
      </c>
      <c r="L115">
        <f t="shared" si="14"/>
        <v>0</v>
      </c>
      <c r="M115">
        <f t="shared" si="21"/>
        <v>0</v>
      </c>
      <c r="N115">
        <f t="shared" si="22"/>
        <v>0</v>
      </c>
      <c r="O115">
        <f t="shared" si="23"/>
        <v>0</v>
      </c>
      <c r="P115">
        <v>0.42000000000000171</v>
      </c>
      <c r="R115">
        <v>10.259</v>
      </c>
      <c r="S115">
        <f t="shared" si="15"/>
        <v>0</v>
      </c>
    </row>
    <row r="116" spans="1:19" x14ac:dyDescent="0.3">
      <c r="A116">
        <v>11328537</v>
      </c>
      <c r="B116">
        <f t="shared" si="16"/>
        <v>9.0999999999999998E-2</v>
      </c>
      <c r="C116">
        <f t="shared" si="17"/>
        <v>10.35</v>
      </c>
      <c r="D116">
        <v>-0.76</v>
      </c>
      <c r="E116">
        <v>0.18</v>
      </c>
      <c r="F116">
        <v>-0.63</v>
      </c>
      <c r="G116">
        <f t="shared" si="18"/>
        <v>0</v>
      </c>
      <c r="H116">
        <f t="shared" si="19"/>
        <v>0</v>
      </c>
      <c r="I116">
        <f t="shared" si="20"/>
        <v>0</v>
      </c>
      <c r="J116">
        <f t="shared" si="12"/>
        <v>0</v>
      </c>
      <c r="K116">
        <f t="shared" si="13"/>
        <v>0</v>
      </c>
      <c r="L116">
        <f t="shared" si="14"/>
        <v>0</v>
      </c>
      <c r="M116">
        <f t="shared" si="21"/>
        <v>0</v>
      </c>
      <c r="N116">
        <f t="shared" si="22"/>
        <v>0</v>
      </c>
      <c r="O116">
        <f t="shared" si="23"/>
        <v>0</v>
      </c>
      <c r="P116">
        <v>0.42000000000000171</v>
      </c>
      <c r="R116">
        <v>10.35</v>
      </c>
      <c r="S116">
        <f t="shared" si="15"/>
        <v>0</v>
      </c>
    </row>
    <row r="117" spans="1:19" x14ac:dyDescent="0.3">
      <c r="A117">
        <v>11328627</v>
      </c>
      <c r="B117">
        <f t="shared" si="16"/>
        <v>0.09</v>
      </c>
      <c r="C117">
        <f t="shared" si="17"/>
        <v>10.44</v>
      </c>
      <c r="D117">
        <v>-0.77</v>
      </c>
      <c r="E117">
        <v>0.18</v>
      </c>
      <c r="F117">
        <v>-0.63</v>
      </c>
      <c r="G117">
        <f t="shared" si="18"/>
        <v>1.0000000000000009E-2</v>
      </c>
      <c r="H117">
        <f t="shared" si="19"/>
        <v>0</v>
      </c>
      <c r="I117">
        <f t="shared" si="20"/>
        <v>0</v>
      </c>
      <c r="J117">
        <f t="shared" si="12"/>
        <v>0</v>
      </c>
      <c r="K117">
        <f t="shared" si="13"/>
        <v>0</v>
      </c>
      <c r="L117">
        <f t="shared" si="14"/>
        <v>0</v>
      </c>
      <c r="M117">
        <f t="shared" si="21"/>
        <v>0</v>
      </c>
      <c r="N117">
        <f t="shared" si="22"/>
        <v>0</v>
      </c>
      <c r="O117">
        <f t="shared" si="23"/>
        <v>0</v>
      </c>
      <c r="P117">
        <v>0</v>
      </c>
      <c r="R117">
        <v>10.44</v>
      </c>
      <c r="S117">
        <f t="shared" si="15"/>
        <v>0</v>
      </c>
    </row>
    <row r="118" spans="1:19" x14ac:dyDescent="0.3">
      <c r="A118">
        <v>11328718</v>
      </c>
      <c r="B118">
        <f t="shared" si="16"/>
        <v>9.0999999999999998E-2</v>
      </c>
      <c r="C118">
        <f t="shared" si="17"/>
        <v>10.531000000000001</v>
      </c>
      <c r="D118">
        <v>-0.76</v>
      </c>
      <c r="E118">
        <v>0.18</v>
      </c>
      <c r="F118">
        <v>-0.62</v>
      </c>
      <c r="G118">
        <f t="shared" si="18"/>
        <v>1.0000000000000009E-2</v>
      </c>
      <c r="H118">
        <f t="shared" si="19"/>
        <v>0</v>
      </c>
      <c r="I118">
        <f t="shared" si="20"/>
        <v>1.0000000000000009E-2</v>
      </c>
      <c r="J118">
        <f t="shared" si="12"/>
        <v>0</v>
      </c>
      <c r="K118">
        <f t="shared" si="13"/>
        <v>0</v>
      </c>
      <c r="L118">
        <f t="shared" si="14"/>
        <v>0</v>
      </c>
      <c r="M118">
        <f t="shared" si="21"/>
        <v>0</v>
      </c>
      <c r="N118">
        <f t="shared" si="22"/>
        <v>0</v>
      </c>
      <c r="O118">
        <f t="shared" si="23"/>
        <v>0</v>
      </c>
      <c r="P118">
        <v>-0.2099999999999973</v>
      </c>
      <c r="R118">
        <v>10.531000000000001</v>
      </c>
      <c r="S118">
        <f t="shared" si="15"/>
        <v>0</v>
      </c>
    </row>
    <row r="119" spans="1:19" x14ac:dyDescent="0.3">
      <c r="A119">
        <v>11328809</v>
      </c>
      <c r="B119">
        <f t="shared" si="16"/>
        <v>9.0999999999999998E-2</v>
      </c>
      <c r="C119">
        <f t="shared" si="17"/>
        <v>10.622</v>
      </c>
      <c r="D119">
        <v>-0.76</v>
      </c>
      <c r="E119">
        <v>0.18</v>
      </c>
      <c r="F119">
        <v>-0.62</v>
      </c>
      <c r="G119">
        <f t="shared" si="18"/>
        <v>0</v>
      </c>
      <c r="H119">
        <f t="shared" si="19"/>
        <v>0</v>
      </c>
      <c r="I119">
        <f t="shared" si="20"/>
        <v>0</v>
      </c>
      <c r="J119">
        <f t="shared" si="12"/>
        <v>0</v>
      </c>
      <c r="K119">
        <f t="shared" si="13"/>
        <v>0</v>
      </c>
      <c r="L119">
        <f t="shared" si="14"/>
        <v>0</v>
      </c>
      <c r="M119">
        <f t="shared" si="21"/>
        <v>0</v>
      </c>
      <c r="N119">
        <f t="shared" si="22"/>
        <v>0</v>
      </c>
      <c r="O119">
        <f t="shared" si="23"/>
        <v>0</v>
      </c>
      <c r="P119">
        <v>0.42000000000000171</v>
      </c>
      <c r="R119">
        <v>10.622</v>
      </c>
      <c r="S119">
        <f t="shared" si="15"/>
        <v>0</v>
      </c>
    </row>
    <row r="120" spans="1:19" x14ac:dyDescent="0.3">
      <c r="A120">
        <v>11328900</v>
      </c>
      <c r="B120">
        <f t="shared" si="16"/>
        <v>9.0999999999999998E-2</v>
      </c>
      <c r="C120">
        <f t="shared" si="17"/>
        <v>10.712999999999999</v>
      </c>
      <c r="D120">
        <v>-0.77</v>
      </c>
      <c r="E120">
        <v>0.18</v>
      </c>
      <c r="F120">
        <v>-0.63</v>
      </c>
      <c r="G120">
        <f t="shared" si="18"/>
        <v>1.0000000000000009E-2</v>
      </c>
      <c r="H120">
        <f t="shared" si="19"/>
        <v>0</v>
      </c>
      <c r="I120">
        <f t="shared" si="20"/>
        <v>1.0000000000000009E-2</v>
      </c>
      <c r="J120">
        <f t="shared" si="12"/>
        <v>0</v>
      </c>
      <c r="K120">
        <f t="shared" si="13"/>
        <v>0</v>
      </c>
      <c r="L120">
        <f t="shared" si="14"/>
        <v>0</v>
      </c>
      <c r="M120">
        <f t="shared" si="21"/>
        <v>0</v>
      </c>
      <c r="N120">
        <f t="shared" si="22"/>
        <v>0</v>
      </c>
      <c r="O120">
        <f t="shared" si="23"/>
        <v>0</v>
      </c>
      <c r="P120">
        <v>0.42000000000000171</v>
      </c>
      <c r="R120">
        <v>10.712999999999999</v>
      </c>
      <c r="S120">
        <f t="shared" si="15"/>
        <v>0</v>
      </c>
    </row>
    <row r="121" spans="1:19" x14ac:dyDescent="0.3">
      <c r="A121">
        <v>11328991</v>
      </c>
      <c r="B121">
        <f t="shared" si="16"/>
        <v>9.0999999999999998E-2</v>
      </c>
      <c r="C121">
        <f t="shared" si="17"/>
        <v>10.804</v>
      </c>
      <c r="D121">
        <v>-0.75</v>
      </c>
      <c r="E121">
        <v>0.18</v>
      </c>
      <c r="F121">
        <v>-0.62</v>
      </c>
      <c r="G121">
        <f t="shared" si="18"/>
        <v>2.0000000000000018E-2</v>
      </c>
      <c r="H121">
        <f t="shared" si="19"/>
        <v>0</v>
      </c>
      <c r="I121">
        <f t="shared" si="20"/>
        <v>1.0000000000000009E-2</v>
      </c>
      <c r="J121">
        <f t="shared" si="12"/>
        <v>0</v>
      </c>
      <c r="K121">
        <f t="shared" si="13"/>
        <v>0</v>
      </c>
      <c r="L121">
        <f t="shared" si="14"/>
        <v>0</v>
      </c>
      <c r="M121">
        <f t="shared" si="21"/>
        <v>0</v>
      </c>
      <c r="N121">
        <f t="shared" si="22"/>
        <v>0</v>
      </c>
      <c r="O121">
        <f t="shared" si="23"/>
        <v>0</v>
      </c>
      <c r="P121">
        <v>0.42000000000000171</v>
      </c>
      <c r="R121">
        <v>10.804</v>
      </c>
      <c r="S121">
        <f t="shared" si="15"/>
        <v>0</v>
      </c>
    </row>
    <row r="122" spans="1:19" x14ac:dyDescent="0.3">
      <c r="A122">
        <v>11329082</v>
      </c>
      <c r="B122">
        <f t="shared" si="16"/>
        <v>9.0999999999999998E-2</v>
      </c>
      <c r="C122">
        <f t="shared" si="17"/>
        <v>10.895</v>
      </c>
      <c r="D122">
        <v>-0.76</v>
      </c>
      <c r="E122">
        <v>0.17</v>
      </c>
      <c r="F122">
        <v>-0.62</v>
      </c>
      <c r="G122">
        <f t="shared" si="18"/>
        <v>1.0000000000000009E-2</v>
      </c>
      <c r="H122">
        <f t="shared" si="19"/>
        <v>9.9999999999999811E-3</v>
      </c>
      <c r="I122">
        <f t="shared" si="20"/>
        <v>0</v>
      </c>
      <c r="J122">
        <f t="shared" si="12"/>
        <v>0</v>
      </c>
      <c r="K122">
        <f t="shared" si="13"/>
        <v>0</v>
      </c>
      <c r="L122">
        <f t="shared" si="14"/>
        <v>0</v>
      </c>
      <c r="M122">
        <f t="shared" si="21"/>
        <v>0</v>
      </c>
      <c r="N122">
        <f t="shared" si="22"/>
        <v>0</v>
      </c>
      <c r="O122">
        <f t="shared" si="23"/>
        <v>0</v>
      </c>
      <c r="P122">
        <v>0.21000000000000085</v>
      </c>
      <c r="R122">
        <v>10.895</v>
      </c>
      <c r="S122">
        <f t="shared" si="15"/>
        <v>0</v>
      </c>
    </row>
    <row r="123" spans="1:19" x14ac:dyDescent="0.3">
      <c r="A123">
        <v>11329172</v>
      </c>
      <c r="B123">
        <f t="shared" si="16"/>
        <v>0.09</v>
      </c>
      <c r="C123">
        <f t="shared" si="17"/>
        <v>10.984999999999999</v>
      </c>
      <c r="D123">
        <v>-0.77</v>
      </c>
      <c r="E123">
        <v>0.18</v>
      </c>
      <c r="F123">
        <v>-0.63</v>
      </c>
      <c r="G123">
        <f t="shared" si="18"/>
        <v>1.0000000000000009E-2</v>
      </c>
      <c r="H123">
        <f t="shared" si="19"/>
        <v>9.9999999999999811E-3</v>
      </c>
      <c r="I123">
        <f t="shared" si="20"/>
        <v>1.0000000000000009E-2</v>
      </c>
      <c r="J123">
        <f t="shared" si="12"/>
        <v>0</v>
      </c>
      <c r="K123">
        <f t="shared" si="13"/>
        <v>0</v>
      </c>
      <c r="L123">
        <f t="shared" si="14"/>
        <v>0</v>
      </c>
      <c r="M123">
        <f t="shared" si="21"/>
        <v>0</v>
      </c>
      <c r="N123">
        <f t="shared" si="22"/>
        <v>0</v>
      </c>
      <c r="O123">
        <f t="shared" si="23"/>
        <v>0</v>
      </c>
      <c r="P123">
        <v>0</v>
      </c>
      <c r="R123">
        <v>10.984999999999999</v>
      </c>
      <c r="S123">
        <f t="shared" si="15"/>
        <v>0</v>
      </c>
    </row>
    <row r="124" spans="1:19" x14ac:dyDescent="0.3">
      <c r="A124">
        <v>11329263</v>
      </c>
      <c r="B124">
        <f t="shared" si="16"/>
        <v>9.0999999999999998E-2</v>
      </c>
      <c r="C124">
        <f t="shared" si="17"/>
        <v>11.076000000000001</v>
      </c>
      <c r="D124">
        <v>-0.76</v>
      </c>
      <c r="E124">
        <v>0.18</v>
      </c>
      <c r="F124">
        <v>-0.62</v>
      </c>
      <c r="G124">
        <f t="shared" si="18"/>
        <v>1.0000000000000009E-2</v>
      </c>
      <c r="H124">
        <f t="shared" si="19"/>
        <v>0</v>
      </c>
      <c r="I124">
        <f t="shared" si="20"/>
        <v>1.0000000000000009E-2</v>
      </c>
      <c r="J124">
        <f t="shared" si="12"/>
        <v>0</v>
      </c>
      <c r="K124">
        <f t="shared" si="13"/>
        <v>0</v>
      </c>
      <c r="L124">
        <f t="shared" si="14"/>
        <v>0</v>
      </c>
      <c r="M124">
        <f t="shared" si="21"/>
        <v>0</v>
      </c>
      <c r="N124">
        <f t="shared" si="22"/>
        <v>0</v>
      </c>
      <c r="O124">
        <f t="shared" si="23"/>
        <v>0</v>
      </c>
      <c r="P124">
        <v>0.42000000000000171</v>
      </c>
      <c r="R124">
        <v>11.076000000000001</v>
      </c>
      <c r="S124">
        <f t="shared" si="15"/>
        <v>0</v>
      </c>
    </row>
    <row r="125" spans="1:19" x14ac:dyDescent="0.3">
      <c r="A125">
        <v>11329354</v>
      </c>
      <c r="B125">
        <f t="shared" si="16"/>
        <v>9.0999999999999998E-2</v>
      </c>
      <c r="C125">
        <f t="shared" si="17"/>
        <v>11.167</v>
      </c>
      <c r="D125">
        <v>-0.76</v>
      </c>
      <c r="E125">
        <v>0.18</v>
      </c>
      <c r="F125">
        <v>-0.63</v>
      </c>
      <c r="G125">
        <f t="shared" si="18"/>
        <v>0</v>
      </c>
      <c r="H125">
        <f t="shared" si="19"/>
        <v>0</v>
      </c>
      <c r="I125">
        <f t="shared" si="20"/>
        <v>1.0000000000000009E-2</v>
      </c>
      <c r="J125">
        <f t="shared" si="12"/>
        <v>0</v>
      </c>
      <c r="K125">
        <f t="shared" si="13"/>
        <v>0</v>
      </c>
      <c r="L125">
        <f t="shared" si="14"/>
        <v>0</v>
      </c>
      <c r="M125">
        <f t="shared" si="21"/>
        <v>0</v>
      </c>
      <c r="N125">
        <f t="shared" si="22"/>
        <v>0</v>
      </c>
      <c r="O125">
        <f t="shared" si="23"/>
        <v>0</v>
      </c>
      <c r="P125">
        <v>0</v>
      </c>
      <c r="R125">
        <v>11.167</v>
      </c>
      <c r="S125">
        <f t="shared" si="15"/>
        <v>0</v>
      </c>
    </row>
    <row r="126" spans="1:19" x14ac:dyDescent="0.3">
      <c r="A126">
        <v>11329444</v>
      </c>
      <c r="B126">
        <f t="shared" si="16"/>
        <v>0.09</v>
      </c>
      <c r="C126">
        <f t="shared" si="17"/>
        <v>11.257</v>
      </c>
      <c r="D126">
        <v>-0.77</v>
      </c>
      <c r="E126">
        <v>0.18</v>
      </c>
      <c r="F126">
        <v>-0.62</v>
      </c>
      <c r="G126">
        <f t="shared" si="18"/>
        <v>1.0000000000000009E-2</v>
      </c>
      <c r="H126">
        <f t="shared" si="19"/>
        <v>0</v>
      </c>
      <c r="I126">
        <f t="shared" si="20"/>
        <v>1.0000000000000009E-2</v>
      </c>
      <c r="J126">
        <f t="shared" si="12"/>
        <v>0</v>
      </c>
      <c r="K126">
        <f t="shared" si="13"/>
        <v>0</v>
      </c>
      <c r="L126">
        <f t="shared" si="14"/>
        <v>0</v>
      </c>
      <c r="M126">
        <f t="shared" si="21"/>
        <v>0</v>
      </c>
      <c r="N126">
        <f t="shared" si="22"/>
        <v>0</v>
      </c>
      <c r="O126">
        <f t="shared" si="23"/>
        <v>0</v>
      </c>
      <c r="P126">
        <v>0.42000000000000171</v>
      </c>
      <c r="R126">
        <v>11.257</v>
      </c>
      <c r="S126">
        <f t="shared" si="15"/>
        <v>0</v>
      </c>
    </row>
    <row r="127" spans="1:19" x14ac:dyDescent="0.3">
      <c r="A127">
        <v>11329536</v>
      </c>
      <c r="B127">
        <f t="shared" si="16"/>
        <v>9.1999999999999998E-2</v>
      </c>
      <c r="C127">
        <f t="shared" si="17"/>
        <v>11.349</v>
      </c>
      <c r="D127">
        <v>-0.76</v>
      </c>
      <c r="E127">
        <v>0.18</v>
      </c>
      <c r="F127">
        <v>-0.62</v>
      </c>
      <c r="G127">
        <f t="shared" si="18"/>
        <v>1.0000000000000009E-2</v>
      </c>
      <c r="H127">
        <f t="shared" si="19"/>
        <v>0</v>
      </c>
      <c r="I127">
        <f t="shared" si="20"/>
        <v>0</v>
      </c>
      <c r="J127">
        <f t="shared" si="12"/>
        <v>0</v>
      </c>
      <c r="K127">
        <f t="shared" si="13"/>
        <v>0</v>
      </c>
      <c r="L127">
        <f t="shared" si="14"/>
        <v>0</v>
      </c>
      <c r="M127">
        <f t="shared" si="21"/>
        <v>0</v>
      </c>
      <c r="N127">
        <f t="shared" si="22"/>
        <v>0</v>
      </c>
      <c r="O127">
        <f t="shared" si="23"/>
        <v>0</v>
      </c>
      <c r="P127">
        <v>0.42000000000000171</v>
      </c>
      <c r="R127">
        <v>11.349</v>
      </c>
      <c r="S127">
        <f t="shared" si="15"/>
        <v>0</v>
      </c>
    </row>
    <row r="128" spans="1:19" x14ac:dyDescent="0.3">
      <c r="A128">
        <v>11329627</v>
      </c>
      <c r="B128">
        <f t="shared" si="16"/>
        <v>9.0999999999999998E-2</v>
      </c>
      <c r="C128">
        <f t="shared" si="17"/>
        <v>11.44</v>
      </c>
      <c r="D128">
        <v>-0.77</v>
      </c>
      <c r="E128">
        <v>0.18</v>
      </c>
      <c r="F128">
        <v>-0.62</v>
      </c>
      <c r="G128">
        <f t="shared" si="18"/>
        <v>1.0000000000000009E-2</v>
      </c>
      <c r="H128">
        <f t="shared" si="19"/>
        <v>0</v>
      </c>
      <c r="I128">
        <f t="shared" si="20"/>
        <v>0</v>
      </c>
      <c r="J128">
        <f t="shared" si="12"/>
        <v>0</v>
      </c>
      <c r="K128">
        <f t="shared" si="13"/>
        <v>0</v>
      </c>
      <c r="L128">
        <f t="shared" si="14"/>
        <v>0</v>
      </c>
      <c r="M128">
        <f t="shared" si="21"/>
        <v>0</v>
      </c>
      <c r="N128">
        <f t="shared" si="22"/>
        <v>0</v>
      </c>
      <c r="O128">
        <f t="shared" si="23"/>
        <v>0</v>
      </c>
      <c r="P128">
        <v>0.62000000000000099</v>
      </c>
      <c r="R128">
        <v>11.44</v>
      </c>
      <c r="S128">
        <f t="shared" si="15"/>
        <v>0</v>
      </c>
    </row>
    <row r="129" spans="1:19" x14ac:dyDescent="0.3">
      <c r="A129">
        <v>11329717</v>
      </c>
      <c r="B129">
        <f t="shared" si="16"/>
        <v>0.09</v>
      </c>
      <c r="C129">
        <f t="shared" si="17"/>
        <v>11.53</v>
      </c>
      <c r="D129">
        <v>-0.76</v>
      </c>
      <c r="E129">
        <v>0.18</v>
      </c>
      <c r="F129">
        <v>-0.61</v>
      </c>
      <c r="G129">
        <f t="shared" si="18"/>
        <v>1.0000000000000009E-2</v>
      </c>
      <c r="H129">
        <f t="shared" si="19"/>
        <v>0</v>
      </c>
      <c r="I129">
        <f t="shared" si="20"/>
        <v>1.0000000000000009E-2</v>
      </c>
      <c r="J129">
        <f t="shared" si="12"/>
        <v>0</v>
      </c>
      <c r="K129">
        <f t="shared" si="13"/>
        <v>0</v>
      </c>
      <c r="L129">
        <f t="shared" si="14"/>
        <v>0</v>
      </c>
      <c r="M129">
        <f t="shared" si="21"/>
        <v>0</v>
      </c>
      <c r="N129">
        <f t="shared" si="22"/>
        <v>0</v>
      </c>
      <c r="O129">
        <f t="shared" si="23"/>
        <v>0</v>
      </c>
      <c r="P129">
        <v>0.21000000000000085</v>
      </c>
      <c r="R129">
        <v>11.53</v>
      </c>
      <c r="S129">
        <f t="shared" si="15"/>
        <v>0</v>
      </c>
    </row>
    <row r="130" spans="1:19" x14ac:dyDescent="0.3">
      <c r="A130">
        <v>11329808</v>
      </c>
      <c r="B130">
        <f t="shared" si="16"/>
        <v>9.0999999999999998E-2</v>
      </c>
      <c r="C130">
        <f t="shared" si="17"/>
        <v>11.621</v>
      </c>
      <c r="D130">
        <v>-0.76</v>
      </c>
      <c r="E130">
        <v>0.18</v>
      </c>
      <c r="F130">
        <v>-0.61</v>
      </c>
      <c r="G130">
        <f t="shared" si="18"/>
        <v>0</v>
      </c>
      <c r="H130">
        <f t="shared" si="19"/>
        <v>0</v>
      </c>
      <c r="I130">
        <f t="shared" si="20"/>
        <v>0</v>
      </c>
      <c r="J130">
        <f t="shared" si="12"/>
        <v>0</v>
      </c>
      <c r="K130">
        <f t="shared" si="13"/>
        <v>0</v>
      </c>
      <c r="L130">
        <f t="shared" si="14"/>
        <v>0</v>
      </c>
      <c r="M130">
        <f t="shared" si="21"/>
        <v>0</v>
      </c>
      <c r="N130">
        <f t="shared" si="22"/>
        <v>0</v>
      </c>
      <c r="O130">
        <f t="shared" si="23"/>
        <v>0</v>
      </c>
      <c r="P130">
        <v>0.62000000000000099</v>
      </c>
      <c r="R130">
        <v>11.621</v>
      </c>
      <c r="S130">
        <f t="shared" si="15"/>
        <v>0</v>
      </c>
    </row>
    <row r="131" spans="1:19" x14ac:dyDescent="0.3">
      <c r="A131">
        <v>11329899</v>
      </c>
      <c r="B131">
        <f t="shared" si="16"/>
        <v>9.0999999999999998E-2</v>
      </c>
      <c r="C131">
        <f t="shared" si="17"/>
        <v>11.712</v>
      </c>
      <c r="D131">
        <v>-0.77</v>
      </c>
      <c r="E131">
        <v>0.18</v>
      </c>
      <c r="F131">
        <v>-0.61</v>
      </c>
      <c r="G131">
        <f t="shared" si="18"/>
        <v>1.0000000000000009E-2</v>
      </c>
      <c r="H131">
        <f t="shared" si="19"/>
        <v>0</v>
      </c>
      <c r="I131">
        <f t="shared" si="20"/>
        <v>0</v>
      </c>
      <c r="J131">
        <f t="shared" ref="J131:J194" si="24">IF(ABS(D131-D130) &gt; $Q$2, 1/2*(D131+D130)*9.81*B131 + J130, 0)</f>
        <v>0</v>
      </c>
      <c r="K131">
        <f t="shared" ref="K131:K194" si="25">IF(ABS(E131-E130) &gt; $Q$2, 1/2*(E131+E130)*9.81*B131 + K130, 0)</f>
        <v>0</v>
      </c>
      <c r="L131">
        <f t="shared" ref="L131:L194" si="26">IF(ABS(F131-F130) &gt; $Q$2, 1/2*(F131+F130)*9.81*B131 + L130, 0)</f>
        <v>0</v>
      </c>
      <c r="M131">
        <f t="shared" si="21"/>
        <v>0</v>
      </c>
      <c r="N131">
        <f t="shared" si="22"/>
        <v>0</v>
      </c>
      <c r="O131">
        <f t="shared" si="23"/>
        <v>0</v>
      </c>
      <c r="P131">
        <v>0.62000000000000099</v>
      </c>
      <c r="R131">
        <v>11.712</v>
      </c>
      <c r="S131">
        <f t="shared" ref="S131:S194" si="27">SQRT(O131*O131)*100</f>
        <v>0</v>
      </c>
    </row>
    <row r="132" spans="1:19" x14ac:dyDescent="0.3">
      <c r="A132">
        <v>11329989</v>
      </c>
      <c r="B132">
        <f t="shared" ref="B132:B195" si="28">(A132-A131)/1000</f>
        <v>0.09</v>
      </c>
      <c r="C132">
        <f t="shared" ref="C132:C195" si="29">(A132-$A$2)/1000</f>
        <v>11.802</v>
      </c>
      <c r="D132">
        <v>-0.77</v>
      </c>
      <c r="E132">
        <v>0.18</v>
      </c>
      <c r="F132">
        <v>-0.6</v>
      </c>
      <c r="G132">
        <f t="shared" ref="G132:G195" si="30">ABS(D132-D131)</f>
        <v>0</v>
      </c>
      <c r="H132">
        <f t="shared" ref="H132:H195" si="31">ABS(E132-E131)</f>
        <v>0</v>
      </c>
      <c r="I132">
        <f t="shared" ref="I132:I195" si="32">ABS(F132-F131)</f>
        <v>1.0000000000000009E-2</v>
      </c>
      <c r="J132">
        <f t="shared" si="24"/>
        <v>0</v>
      </c>
      <c r="K132">
        <f t="shared" si="25"/>
        <v>0</v>
      </c>
      <c r="L132">
        <f t="shared" si="26"/>
        <v>0</v>
      </c>
      <c r="M132">
        <f t="shared" ref="M132:M195" si="33">1/2*(J132+J131)*B132 + M131</f>
        <v>0</v>
      </c>
      <c r="N132">
        <f t="shared" ref="N132:N195" si="34">1/2*(K132+K131)*B132 + N131</f>
        <v>0</v>
      </c>
      <c r="O132">
        <f t="shared" ref="O132:O195" si="35">1/2*(L132+L131)*B132 + O131</f>
        <v>0</v>
      </c>
      <c r="P132">
        <v>1.4600000000000009</v>
      </c>
      <c r="R132">
        <v>11.802</v>
      </c>
      <c r="S132">
        <f t="shared" si="27"/>
        <v>0</v>
      </c>
    </row>
    <row r="133" spans="1:19" x14ac:dyDescent="0.3">
      <c r="A133">
        <v>11330080</v>
      </c>
      <c r="B133">
        <f t="shared" si="28"/>
        <v>9.0999999999999998E-2</v>
      </c>
      <c r="C133">
        <f t="shared" si="29"/>
        <v>11.893000000000001</v>
      </c>
      <c r="D133">
        <v>-0.77</v>
      </c>
      <c r="E133">
        <v>0.18</v>
      </c>
      <c r="F133">
        <v>-0.59</v>
      </c>
      <c r="G133">
        <f t="shared" si="30"/>
        <v>0</v>
      </c>
      <c r="H133">
        <f t="shared" si="31"/>
        <v>0</v>
      </c>
      <c r="I133">
        <f t="shared" si="32"/>
        <v>1.0000000000000009E-2</v>
      </c>
      <c r="J133">
        <f t="shared" si="24"/>
        <v>0</v>
      </c>
      <c r="K133">
        <f t="shared" si="25"/>
        <v>0</v>
      </c>
      <c r="L133">
        <f t="shared" si="26"/>
        <v>0</v>
      </c>
      <c r="M133">
        <f t="shared" si="33"/>
        <v>0</v>
      </c>
      <c r="N133">
        <f t="shared" si="34"/>
        <v>0</v>
      </c>
      <c r="O133">
        <f t="shared" si="35"/>
        <v>0</v>
      </c>
      <c r="P133">
        <v>1.4600000000000009</v>
      </c>
      <c r="R133">
        <v>11.893000000000001</v>
      </c>
      <c r="S133">
        <f t="shared" si="27"/>
        <v>0</v>
      </c>
    </row>
    <row r="134" spans="1:19" x14ac:dyDescent="0.3">
      <c r="A134">
        <v>11330171</v>
      </c>
      <c r="B134">
        <f t="shared" si="28"/>
        <v>9.0999999999999998E-2</v>
      </c>
      <c r="C134">
        <f t="shared" si="29"/>
        <v>11.984</v>
      </c>
      <c r="D134">
        <v>-0.77</v>
      </c>
      <c r="E134">
        <v>0.17</v>
      </c>
      <c r="F134">
        <v>-0.59</v>
      </c>
      <c r="G134">
        <f t="shared" si="30"/>
        <v>0</v>
      </c>
      <c r="H134">
        <f t="shared" si="31"/>
        <v>9.9999999999999811E-3</v>
      </c>
      <c r="I134">
        <f t="shared" si="32"/>
        <v>0</v>
      </c>
      <c r="J134">
        <f t="shared" si="24"/>
        <v>0</v>
      </c>
      <c r="K134">
        <f t="shared" si="25"/>
        <v>0</v>
      </c>
      <c r="L134">
        <f t="shared" si="26"/>
        <v>0</v>
      </c>
      <c r="M134">
        <f t="shared" si="33"/>
        <v>0</v>
      </c>
      <c r="N134">
        <f t="shared" si="34"/>
        <v>0</v>
      </c>
      <c r="O134">
        <f t="shared" si="35"/>
        <v>0</v>
      </c>
      <c r="P134">
        <v>2.7100000000000044</v>
      </c>
      <c r="R134">
        <v>11.984</v>
      </c>
      <c r="S134">
        <f t="shared" si="27"/>
        <v>0</v>
      </c>
    </row>
    <row r="135" spans="1:19" x14ac:dyDescent="0.3">
      <c r="A135">
        <v>11330262</v>
      </c>
      <c r="B135">
        <f t="shared" si="28"/>
        <v>9.0999999999999998E-2</v>
      </c>
      <c r="C135">
        <f t="shared" si="29"/>
        <v>12.074999999999999</v>
      </c>
      <c r="D135">
        <v>-0.77</v>
      </c>
      <c r="E135">
        <v>0.16</v>
      </c>
      <c r="F135">
        <v>-0.59</v>
      </c>
      <c r="G135">
        <f t="shared" si="30"/>
        <v>0</v>
      </c>
      <c r="H135">
        <f t="shared" si="31"/>
        <v>1.0000000000000009E-2</v>
      </c>
      <c r="I135">
        <f t="shared" si="32"/>
        <v>0</v>
      </c>
      <c r="J135">
        <f t="shared" si="24"/>
        <v>0</v>
      </c>
      <c r="K135">
        <f t="shared" si="25"/>
        <v>0</v>
      </c>
      <c r="L135">
        <f t="shared" si="26"/>
        <v>0</v>
      </c>
      <c r="M135">
        <f t="shared" si="33"/>
        <v>0</v>
      </c>
      <c r="N135">
        <f t="shared" si="34"/>
        <v>0</v>
      </c>
      <c r="O135">
        <f t="shared" si="35"/>
        <v>0</v>
      </c>
      <c r="P135">
        <v>3.7500000000000036</v>
      </c>
      <c r="R135">
        <v>12.074999999999999</v>
      </c>
      <c r="S135">
        <f t="shared" si="27"/>
        <v>0</v>
      </c>
    </row>
    <row r="136" spans="1:19" x14ac:dyDescent="0.3">
      <c r="A136">
        <v>11330353</v>
      </c>
      <c r="B136">
        <f t="shared" si="28"/>
        <v>9.0999999999999998E-2</v>
      </c>
      <c r="C136">
        <f t="shared" si="29"/>
        <v>12.166</v>
      </c>
      <c r="D136">
        <v>-0.75</v>
      </c>
      <c r="E136">
        <v>0.18</v>
      </c>
      <c r="F136">
        <v>-0.59</v>
      </c>
      <c r="G136">
        <f t="shared" si="30"/>
        <v>2.0000000000000018E-2</v>
      </c>
      <c r="H136">
        <f t="shared" si="31"/>
        <v>1.999999999999999E-2</v>
      </c>
      <c r="I136">
        <f t="shared" si="32"/>
        <v>0</v>
      </c>
      <c r="J136">
        <f t="shared" si="24"/>
        <v>0</v>
      </c>
      <c r="K136">
        <f t="shared" si="25"/>
        <v>0</v>
      </c>
      <c r="L136">
        <f t="shared" si="26"/>
        <v>0</v>
      </c>
      <c r="M136">
        <f t="shared" si="33"/>
        <v>0</v>
      </c>
      <c r="N136">
        <f t="shared" si="34"/>
        <v>0</v>
      </c>
      <c r="O136">
        <f t="shared" si="35"/>
        <v>0</v>
      </c>
      <c r="P136">
        <v>5.0000000000000036</v>
      </c>
      <c r="R136">
        <v>12.166</v>
      </c>
      <c r="S136">
        <f t="shared" si="27"/>
        <v>0</v>
      </c>
    </row>
    <row r="137" spans="1:19" x14ac:dyDescent="0.3">
      <c r="A137">
        <v>11330444</v>
      </c>
      <c r="B137">
        <f t="shared" si="28"/>
        <v>9.0999999999999998E-2</v>
      </c>
      <c r="C137">
        <f t="shared" si="29"/>
        <v>12.257</v>
      </c>
      <c r="D137">
        <v>-0.78</v>
      </c>
      <c r="E137">
        <v>0.17</v>
      </c>
      <c r="F137">
        <v>-0.6</v>
      </c>
      <c r="G137">
        <f t="shared" si="30"/>
        <v>3.0000000000000027E-2</v>
      </c>
      <c r="H137">
        <f t="shared" si="31"/>
        <v>9.9999999999999811E-3</v>
      </c>
      <c r="I137">
        <f t="shared" si="32"/>
        <v>1.0000000000000009E-2</v>
      </c>
      <c r="J137">
        <f t="shared" si="24"/>
        <v>-0.68292315000000003</v>
      </c>
      <c r="K137">
        <f t="shared" si="25"/>
        <v>0</v>
      </c>
      <c r="L137">
        <f t="shared" si="26"/>
        <v>0</v>
      </c>
      <c r="M137">
        <f t="shared" si="33"/>
        <v>-3.1073003325000001E-2</v>
      </c>
      <c r="N137">
        <f t="shared" si="34"/>
        <v>0</v>
      </c>
      <c r="O137">
        <f t="shared" si="35"/>
        <v>0</v>
      </c>
      <c r="P137">
        <v>6.4600000000000044</v>
      </c>
      <c r="R137">
        <v>12.257</v>
      </c>
      <c r="S137">
        <f t="shared" si="27"/>
        <v>0</v>
      </c>
    </row>
    <row r="138" spans="1:19" x14ac:dyDescent="0.3">
      <c r="A138">
        <v>11330534</v>
      </c>
      <c r="B138">
        <f t="shared" si="28"/>
        <v>0.09</v>
      </c>
      <c r="C138">
        <f t="shared" si="29"/>
        <v>12.347</v>
      </c>
      <c r="D138">
        <v>-0.78</v>
      </c>
      <c r="E138">
        <v>0.17</v>
      </c>
      <c r="F138">
        <v>-0.6</v>
      </c>
      <c r="G138">
        <f t="shared" si="30"/>
        <v>0</v>
      </c>
      <c r="H138">
        <f t="shared" si="31"/>
        <v>0</v>
      </c>
      <c r="I138">
        <f t="shared" si="32"/>
        <v>0</v>
      </c>
      <c r="J138">
        <f t="shared" si="24"/>
        <v>0</v>
      </c>
      <c r="K138">
        <f t="shared" si="25"/>
        <v>0</v>
      </c>
      <c r="L138">
        <f t="shared" si="26"/>
        <v>0</v>
      </c>
      <c r="M138">
        <f t="shared" si="33"/>
        <v>-6.1804545075000002E-2</v>
      </c>
      <c r="N138">
        <f t="shared" si="34"/>
        <v>0</v>
      </c>
      <c r="O138">
        <f t="shared" si="35"/>
        <v>0</v>
      </c>
      <c r="P138">
        <v>8.5400000000000027</v>
      </c>
      <c r="R138">
        <v>12.347</v>
      </c>
      <c r="S138">
        <f t="shared" si="27"/>
        <v>0</v>
      </c>
    </row>
    <row r="139" spans="1:19" x14ac:dyDescent="0.3">
      <c r="A139">
        <v>11330625</v>
      </c>
      <c r="B139">
        <f t="shared" si="28"/>
        <v>9.0999999999999998E-2</v>
      </c>
      <c r="C139">
        <f t="shared" si="29"/>
        <v>12.438000000000001</v>
      </c>
      <c r="D139">
        <v>-0.77</v>
      </c>
      <c r="E139">
        <v>0.17</v>
      </c>
      <c r="F139">
        <v>-0.63</v>
      </c>
      <c r="G139">
        <f t="shared" si="30"/>
        <v>1.0000000000000009E-2</v>
      </c>
      <c r="H139">
        <f t="shared" si="31"/>
        <v>0</v>
      </c>
      <c r="I139">
        <f t="shared" si="32"/>
        <v>3.0000000000000027E-2</v>
      </c>
      <c r="J139">
        <f t="shared" si="24"/>
        <v>0</v>
      </c>
      <c r="K139">
        <f t="shared" si="25"/>
        <v>0</v>
      </c>
      <c r="L139">
        <f t="shared" si="26"/>
        <v>-0.54901664999999999</v>
      </c>
      <c r="M139">
        <f t="shared" si="33"/>
        <v>-6.1804545075000002E-2</v>
      </c>
      <c r="N139">
        <f t="shared" si="34"/>
        <v>0</v>
      </c>
      <c r="O139">
        <f t="shared" si="35"/>
        <v>-2.4980257574999998E-2</v>
      </c>
      <c r="P139">
        <v>10.210000000000004</v>
      </c>
      <c r="R139">
        <v>12.438000000000001</v>
      </c>
      <c r="S139">
        <f t="shared" si="27"/>
        <v>2.4980257574999998</v>
      </c>
    </row>
    <row r="140" spans="1:19" x14ac:dyDescent="0.3">
      <c r="A140">
        <v>11330716</v>
      </c>
      <c r="B140">
        <f t="shared" si="28"/>
        <v>9.0999999999999998E-2</v>
      </c>
      <c r="C140">
        <f t="shared" si="29"/>
        <v>12.529</v>
      </c>
      <c r="D140">
        <v>-0.77</v>
      </c>
      <c r="E140">
        <v>0.17</v>
      </c>
      <c r="F140">
        <v>-0.59</v>
      </c>
      <c r="G140">
        <f t="shared" si="30"/>
        <v>0</v>
      </c>
      <c r="H140">
        <f t="shared" si="31"/>
        <v>0</v>
      </c>
      <c r="I140">
        <f t="shared" si="32"/>
        <v>4.0000000000000036E-2</v>
      </c>
      <c r="J140">
        <f t="shared" si="24"/>
        <v>0</v>
      </c>
      <c r="K140">
        <f t="shared" si="25"/>
        <v>0</v>
      </c>
      <c r="L140">
        <f t="shared" si="26"/>
        <v>-1.0935697499999999</v>
      </c>
      <c r="M140">
        <f t="shared" si="33"/>
        <v>-6.1804545075000002E-2</v>
      </c>
      <c r="N140">
        <f t="shared" si="34"/>
        <v>0</v>
      </c>
      <c r="O140">
        <f t="shared" si="35"/>
        <v>-9.9717938774999987E-2</v>
      </c>
      <c r="P140">
        <v>12.710000000000004</v>
      </c>
      <c r="R140">
        <v>12.529</v>
      </c>
      <c r="S140">
        <f t="shared" si="27"/>
        <v>9.9717938774999979</v>
      </c>
    </row>
    <row r="141" spans="1:19" x14ac:dyDescent="0.3">
      <c r="A141">
        <v>11330806</v>
      </c>
      <c r="B141">
        <f t="shared" si="28"/>
        <v>0.09</v>
      </c>
      <c r="C141">
        <f t="shared" si="29"/>
        <v>12.619</v>
      </c>
      <c r="D141">
        <v>-0.77</v>
      </c>
      <c r="E141">
        <v>0.17</v>
      </c>
      <c r="F141">
        <v>-0.62</v>
      </c>
      <c r="G141">
        <f t="shared" si="30"/>
        <v>0</v>
      </c>
      <c r="H141">
        <f t="shared" si="31"/>
        <v>0</v>
      </c>
      <c r="I141">
        <f t="shared" si="32"/>
        <v>3.0000000000000027E-2</v>
      </c>
      <c r="J141">
        <f t="shared" si="24"/>
        <v>0</v>
      </c>
      <c r="K141">
        <f t="shared" si="25"/>
        <v>0</v>
      </c>
      <c r="L141">
        <f t="shared" si="26"/>
        <v>-1.62772425</v>
      </c>
      <c r="M141">
        <f t="shared" si="33"/>
        <v>-6.1804545075000002E-2</v>
      </c>
      <c r="N141">
        <f t="shared" si="34"/>
        <v>0</v>
      </c>
      <c r="O141">
        <f t="shared" si="35"/>
        <v>-0.22217616877499996</v>
      </c>
      <c r="P141">
        <v>14.790000000000003</v>
      </c>
      <c r="R141">
        <v>12.619</v>
      </c>
      <c r="S141">
        <f t="shared" si="27"/>
        <v>22.217616877499996</v>
      </c>
    </row>
    <row r="142" spans="1:19" x14ac:dyDescent="0.3">
      <c r="A142">
        <v>11330897</v>
      </c>
      <c r="B142">
        <f t="shared" si="28"/>
        <v>9.0999999999999998E-2</v>
      </c>
      <c r="C142">
        <f t="shared" si="29"/>
        <v>12.71</v>
      </c>
      <c r="D142">
        <v>-0.78</v>
      </c>
      <c r="E142">
        <v>0.17</v>
      </c>
      <c r="F142">
        <v>-0.62</v>
      </c>
      <c r="G142">
        <f t="shared" si="30"/>
        <v>1.0000000000000009E-2</v>
      </c>
      <c r="H142">
        <f t="shared" si="31"/>
        <v>0</v>
      </c>
      <c r="I142">
        <f t="shared" si="32"/>
        <v>0</v>
      </c>
      <c r="J142">
        <f t="shared" si="24"/>
        <v>0</v>
      </c>
      <c r="K142">
        <f t="shared" si="25"/>
        <v>0</v>
      </c>
      <c r="L142">
        <f t="shared" si="26"/>
        <v>0</v>
      </c>
      <c r="M142">
        <f t="shared" si="33"/>
        <v>-6.1804545075000002E-2</v>
      </c>
      <c r="N142">
        <f t="shared" si="34"/>
        <v>0</v>
      </c>
      <c r="O142">
        <f t="shared" si="35"/>
        <v>-0.29623762214999994</v>
      </c>
      <c r="P142">
        <v>16.669999999999998</v>
      </c>
      <c r="R142">
        <v>12.71</v>
      </c>
      <c r="S142">
        <f t="shared" si="27"/>
        <v>29.623762214999992</v>
      </c>
    </row>
    <row r="143" spans="1:19" x14ac:dyDescent="0.3">
      <c r="A143">
        <v>11330989</v>
      </c>
      <c r="B143">
        <f t="shared" si="28"/>
        <v>9.1999999999999998E-2</v>
      </c>
      <c r="C143">
        <f t="shared" si="29"/>
        <v>12.802</v>
      </c>
      <c r="D143">
        <v>-0.78</v>
      </c>
      <c r="E143">
        <v>0.17</v>
      </c>
      <c r="F143">
        <v>-0.62</v>
      </c>
      <c r="G143">
        <f t="shared" si="30"/>
        <v>0</v>
      </c>
      <c r="H143">
        <f t="shared" si="31"/>
        <v>0</v>
      </c>
      <c r="I143">
        <f t="shared" si="32"/>
        <v>0</v>
      </c>
      <c r="J143">
        <f t="shared" si="24"/>
        <v>0</v>
      </c>
      <c r="K143">
        <f t="shared" si="25"/>
        <v>0</v>
      </c>
      <c r="L143">
        <f t="shared" si="26"/>
        <v>0</v>
      </c>
      <c r="M143">
        <f t="shared" si="33"/>
        <v>-6.1804545075000002E-2</v>
      </c>
      <c r="N143">
        <f t="shared" si="34"/>
        <v>0</v>
      </c>
      <c r="O143">
        <f t="shared" si="35"/>
        <v>-0.29623762214999994</v>
      </c>
      <c r="P143">
        <v>19.169999999999998</v>
      </c>
      <c r="R143">
        <v>12.802</v>
      </c>
      <c r="S143">
        <f t="shared" si="27"/>
        <v>29.623762214999992</v>
      </c>
    </row>
    <row r="144" spans="1:19" x14ac:dyDescent="0.3">
      <c r="A144">
        <v>11331079</v>
      </c>
      <c r="B144">
        <f t="shared" si="28"/>
        <v>0.09</v>
      </c>
      <c r="C144">
        <f t="shared" si="29"/>
        <v>12.891999999999999</v>
      </c>
      <c r="D144">
        <v>-0.77</v>
      </c>
      <c r="E144">
        <v>0.16</v>
      </c>
      <c r="F144">
        <v>-0.62</v>
      </c>
      <c r="G144">
        <f t="shared" si="30"/>
        <v>1.0000000000000009E-2</v>
      </c>
      <c r="H144">
        <f t="shared" si="31"/>
        <v>1.0000000000000009E-2</v>
      </c>
      <c r="I144">
        <f t="shared" si="32"/>
        <v>0</v>
      </c>
      <c r="J144">
        <f t="shared" si="24"/>
        <v>0</v>
      </c>
      <c r="K144">
        <f t="shared" si="25"/>
        <v>0</v>
      </c>
      <c r="L144">
        <f t="shared" si="26"/>
        <v>0</v>
      </c>
      <c r="M144">
        <f t="shared" si="33"/>
        <v>-6.1804545075000002E-2</v>
      </c>
      <c r="N144">
        <f t="shared" si="34"/>
        <v>0</v>
      </c>
      <c r="O144">
        <f t="shared" si="35"/>
        <v>-0.29623762214999994</v>
      </c>
      <c r="P144">
        <v>21.250000000000004</v>
      </c>
      <c r="R144">
        <v>12.891999999999999</v>
      </c>
      <c r="S144">
        <f t="shared" si="27"/>
        <v>29.623762214999992</v>
      </c>
    </row>
    <row r="145" spans="1:19" x14ac:dyDescent="0.3">
      <c r="A145">
        <v>11331170</v>
      </c>
      <c r="B145">
        <f t="shared" si="28"/>
        <v>9.0999999999999998E-2</v>
      </c>
      <c r="C145">
        <f t="shared" si="29"/>
        <v>12.983000000000001</v>
      </c>
      <c r="D145">
        <v>-0.76</v>
      </c>
      <c r="E145">
        <v>0.17</v>
      </c>
      <c r="F145">
        <v>-0.63</v>
      </c>
      <c r="G145">
        <f t="shared" si="30"/>
        <v>1.0000000000000009E-2</v>
      </c>
      <c r="H145">
        <f t="shared" si="31"/>
        <v>1.0000000000000009E-2</v>
      </c>
      <c r="I145">
        <f t="shared" si="32"/>
        <v>1.0000000000000009E-2</v>
      </c>
      <c r="J145">
        <f t="shared" si="24"/>
        <v>0</v>
      </c>
      <c r="K145">
        <f t="shared" si="25"/>
        <v>0</v>
      </c>
      <c r="L145">
        <f t="shared" si="26"/>
        <v>0</v>
      </c>
      <c r="M145">
        <f t="shared" si="33"/>
        <v>-6.1804545075000002E-2</v>
      </c>
      <c r="N145">
        <f t="shared" si="34"/>
        <v>0</v>
      </c>
      <c r="O145">
        <f t="shared" si="35"/>
        <v>-0.29623762214999994</v>
      </c>
      <c r="P145">
        <v>22.290000000000003</v>
      </c>
      <c r="R145">
        <v>12.983000000000001</v>
      </c>
      <c r="S145">
        <f t="shared" si="27"/>
        <v>29.623762214999992</v>
      </c>
    </row>
    <row r="146" spans="1:19" x14ac:dyDescent="0.3">
      <c r="A146">
        <v>11331261</v>
      </c>
      <c r="B146">
        <f t="shared" si="28"/>
        <v>9.0999999999999998E-2</v>
      </c>
      <c r="C146">
        <f t="shared" si="29"/>
        <v>13.074</v>
      </c>
      <c r="D146">
        <v>-0.77</v>
      </c>
      <c r="E146">
        <v>0.16</v>
      </c>
      <c r="F146">
        <v>-0.63</v>
      </c>
      <c r="G146">
        <f t="shared" si="30"/>
        <v>1.0000000000000009E-2</v>
      </c>
      <c r="H146">
        <f t="shared" si="31"/>
        <v>1.0000000000000009E-2</v>
      </c>
      <c r="I146">
        <f t="shared" si="32"/>
        <v>0</v>
      </c>
      <c r="J146">
        <f t="shared" si="24"/>
        <v>0</v>
      </c>
      <c r="K146">
        <f t="shared" si="25"/>
        <v>0</v>
      </c>
      <c r="L146">
        <f t="shared" si="26"/>
        <v>0</v>
      </c>
      <c r="M146">
        <f t="shared" si="33"/>
        <v>-6.1804545075000002E-2</v>
      </c>
      <c r="N146">
        <f t="shared" si="34"/>
        <v>0</v>
      </c>
      <c r="O146">
        <f t="shared" si="35"/>
        <v>-0.29623762214999994</v>
      </c>
      <c r="P146">
        <v>25.000000000000004</v>
      </c>
      <c r="R146">
        <v>13.074</v>
      </c>
      <c r="S146">
        <f t="shared" si="27"/>
        <v>29.623762214999992</v>
      </c>
    </row>
    <row r="147" spans="1:19" x14ac:dyDescent="0.3">
      <c r="A147">
        <v>11331351</v>
      </c>
      <c r="B147">
        <f t="shared" si="28"/>
        <v>0.09</v>
      </c>
      <c r="C147">
        <f t="shared" si="29"/>
        <v>13.164</v>
      </c>
      <c r="D147">
        <v>-0.76</v>
      </c>
      <c r="E147">
        <v>0.16</v>
      </c>
      <c r="F147">
        <v>-0.62</v>
      </c>
      <c r="G147">
        <f t="shared" si="30"/>
        <v>1.0000000000000009E-2</v>
      </c>
      <c r="H147">
        <f t="shared" si="31"/>
        <v>0</v>
      </c>
      <c r="I147">
        <f t="shared" si="32"/>
        <v>1.0000000000000009E-2</v>
      </c>
      <c r="J147">
        <f t="shared" si="24"/>
        <v>0</v>
      </c>
      <c r="K147">
        <f t="shared" si="25"/>
        <v>0</v>
      </c>
      <c r="L147">
        <f t="shared" si="26"/>
        <v>0</v>
      </c>
      <c r="M147">
        <f t="shared" si="33"/>
        <v>-6.1804545075000002E-2</v>
      </c>
      <c r="N147">
        <f t="shared" si="34"/>
        <v>0</v>
      </c>
      <c r="O147">
        <f t="shared" si="35"/>
        <v>-0.29623762214999994</v>
      </c>
      <c r="P147">
        <v>27.080000000000002</v>
      </c>
      <c r="R147">
        <v>13.164</v>
      </c>
      <c r="S147">
        <f t="shared" si="27"/>
        <v>29.623762214999992</v>
      </c>
    </row>
    <row r="148" spans="1:19" x14ac:dyDescent="0.3">
      <c r="A148">
        <v>11331442</v>
      </c>
      <c r="B148">
        <f t="shared" si="28"/>
        <v>9.0999999999999998E-2</v>
      </c>
      <c r="C148">
        <f t="shared" si="29"/>
        <v>13.255000000000001</v>
      </c>
      <c r="D148">
        <v>-0.76</v>
      </c>
      <c r="E148">
        <v>0.17</v>
      </c>
      <c r="F148">
        <v>-0.61</v>
      </c>
      <c r="G148">
        <f t="shared" si="30"/>
        <v>0</v>
      </c>
      <c r="H148">
        <f t="shared" si="31"/>
        <v>1.0000000000000009E-2</v>
      </c>
      <c r="I148">
        <f t="shared" si="32"/>
        <v>1.0000000000000009E-2</v>
      </c>
      <c r="J148">
        <f t="shared" si="24"/>
        <v>0</v>
      </c>
      <c r="K148">
        <f t="shared" si="25"/>
        <v>0</v>
      </c>
      <c r="L148">
        <f t="shared" si="26"/>
        <v>0</v>
      </c>
      <c r="M148">
        <f t="shared" si="33"/>
        <v>-6.1804545075000002E-2</v>
      </c>
      <c r="N148">
        <f t="shared" si="34"/>
        <v>0</v>
      </c>
      <c r="O148">
        <f t="shared" si="35"/>
        <v>-0.29623762214999994</v>
      </c>
      <c r="P148">
        <v>28.750000000000004</v>
      </c>
      <c r="R148">
        <v>13.255000000000001</v>
      </c>
      <c r="S148">
        <f t="shared" si="27"/>
        <v>29.623762214999992</v>
      </c>
    </row>
    <row r="149" spans="1:19" x14ac:dyDescent="0.3">
      <c r="A149">
        <v>11331533</v>
      </c>
      <c r="B149">
        <f t="shared" si="28"/>
        <v>9.0999999999999998E-2</v>
      </c>
      <c r="C149">
        <f t="shared" si="29"/>
        <v>13.346</v>
      </c>
      <c r="D149">
        <v>-0.78</v>
      </c>
      <c r="E149">
        <v>0.16</v>
      </c>
      <c r="F149">
        <v>-0.62</v>
      </c>
      <c r="G149">
        <f t="shared" si="30"/>
        <v>2.0000000000000018E-2</v>
      </c>
      <c r="H149">
        <f t="shared" si="31"/>
        <v>1.0000000000000009E-2</v>
      </c>
      <c r="I149">
        <f t="shared" si="32"/>
        <v>1.0000000000000009E-2</v>
      </c>
      <c r="J149">
        <f t="shared" si="24"/>
        <v>0</v>
      </c>
      <c r="K149">
        <f t="shared" si="25"/>
        <v>0</v>
      </c>
      <c r="L149">
        <f t="shared" si="26"/>
        <v>0</v>
      </c>
      <c r="M149">
        <f t="shared" si="33"/>
        <v>-6.1804545075000002E-2</v>
      </c>
      <c r="N149">
        <f t="shared" si="34"/>
        <v>0</v>
      </c>
      <c r="O149">
        <f t="shared" si="35"/>
        <v>-0.29623762214999994</v>
      </c>
      <c r="P149">
        <v>30.62</v>
      </c>
      <c r="R149">
        <v>13.346</v>
      </c>
      <c r="S149">
        <f t="shared" si="27"/>
        <v>29.623762214999992</v>
      </c>
    </row>
    <row r="150" spans="1:19" x14ac:dyDescent="0.3">
      <c r="A150">
        <v>11331623</v>
      </c>
      <c r="B150">
        <f t="shared" si="28"/>
        <v>0.09</v>
      </c>
      <c r="C150">
        <f t="shared" si="29"/>
        <v>13.436</v>
      </c>
      <c r="D150">
        <v>-0.76</v>
      </c>
      <c r="E150">
        <v>0.16</v>
      </c>
      <c r="F150">
        <v>-0.63</v>
      </c>
      <c r="G150">
        <f t="shared" si="30"/>
        <v>2.0000000000000018E-2</v>
      </c>
      <c r="H150">
        <f t="shared" si="31"/>
        <v>0</v>
      </c>
      <c r="I150">
        <f t="shared" si="32"/>
        <v>1.0000000000000009E-2</v>
      </c>
      <c r="J150">
        <f t="shared" si="24"/>
        <v>0</v>
      </c>
      <c r="K150">
        <f t="shared" si="25"/>
        <v>0</v>
      </c>
      <c r="L150">
        <f t="shared" si="26"/>
        <v>0</v>
      </c>
      <c r="M150">
        <f t="shared" si="33"/>
        <v>-6.1804545075000002E-2</v>
      </c>
      <c r="N150">
        <f t="shared" si="34"/>
        <v>0</v>
      </c>
      <c r="O150">
        <f t="shared" si="35"/>
        <v>-0.29623762214999994</v>
      </c>
      <c r="P150">
        <v>32.290000000000006</v>
      </c>
      <c r="R150">
        <v>13.436</v>
      </c>
      <c r="S150">
        <f t="shared" si="27"/>
        <v>29.623762214999992</v>
      </c>
    </row>
    <row r="151" spans="1:19" x14ac:dyDescent="0.3">
      <c r="A151">
        <v>11331715</v>
      </c>
      <c r="B151">
        <f t="shared" si="28"/>
        <v>9.1999999999999998E-2</v>
      </c>
      <c r="C151">
        <f t="shared" si="29"/>
        <v>13.528</v>
      </c>
      <c r="D151">
        <v>-0.78</v>
      </c>
      <c r="E151">
        <v>0.16</v>
      </c>
      <c r="F151">
        <v>-0.61</v>
      </c>
      <c r="G151">
        <f t="shared" si="30"/>
        <v>2.0000000000000018E-2</v>
      </c>
      <c r="H151">
        <f t="shared" si="31"/>
        <v>0</v>
      </c>
      <c r="I151">
        <f t="shared" si="32"/>
        <v>2.0000000000000018E-2</v>
      </c>
      <c r="J151">
        <f t="shared" si="24"/>
        <v>0</v>
      </c>
      <c r="K151">
        <f t="shared" si="25"/>
        <v>0</v>
      </c>
      <c r="L151">
        <f t="shared" si="26"/>
        <v>0</v>
      </c>
      <c r="M151">
        <f t="shared" si="33"/>
        <v>-6.1804545075000002E-2</v>
      </c>
      <c r="N151">
        <f t="shared" si="34"/>
        <v>0</v>
      </c>
      <c r="O151">
        <f t="shared" si="35"/>
        <v>-0.29623762214999994</v>
      </c>
      <c r="P151">
        <v>33.75</v>
      </c>
      <c r="R151">
        <v>13.528</v>
      </c>
      <c r="S151">
        <f t="shared" si="27"/>
        <v>29.623762214999992</v>
      </c>
    </row>
    <row r="152" spans="1:19" x14ac:dyDescent="0.3">
      <c r="A152">
        <v>11331806</v>
      </c>
      <c r="B152">
        <f t="shared" si="28"/>
        <v>9.0999999999999998E-2</v>
      </c>
      <c r="C152">
        <f t="shared" si="29"/>
        <v>13.619</v>
      </c>
      <c r="D152">
        <v>-0.78</v>
      </c>
      <c r="E152">
        <v>0.15</v>
      </c>
      <c r="F152">
        <v>-0.57999999999999996</v>
      </c>
      <c r="G152">
        <f t="shared" si="30"/>
        <v>0</v>
      </c>
      <c r="H152">
        <f t="shared" si="31"/>
        <v>1.0000000000000009E-2</v>
      </c>
      <c r="I152">
        <f t="shared" si="32"/>
        <v>3.0000000000000027E-2</v>
      </c>
      <c r="J152">
        <f t="shared" si="24"/>
        <v>0</v>
      </c>
      <c r="K152">
        <f t="shared" si="25"/>
        <v>0</v>
      </c>
      <c r="L152">
        <f t="shared" si="26"/>
        <v>-0.53116244999999995</v>
      </c>
      <c r="M152">
        <f t="shared" si="33"/>
        <v>-6.1804545075000002E-2</v>
      </c>
      <c r="N152">
        <f t="shared" si="34"/>
        <v>0</v>
      </c>
      <c r="O152">
        <f t="shared" si="35"/>
        <v>-0.32040551362499992</v>
      </c>
      <c r="P152">
        <v>35.210000000000008</v>
      </c>
      <c r="R152">
        <v>13.619</v>
      </c>
      <c r="S152">
        <f t="shared" si="27"/>
        <v>32.04055136249999</v>
      </c>
    </row>
    <row r="153" spans="1:19" x14ac:dyDescent="0.3">
      <c r="A153">
        <v>11331896</v>
      </c>
      <c r="B153">
        <f t="shared" si="28"/>
        <v>0.09</v>
      </c>
      <c r="C153">
        <f t="shared" si="29"/>
        <v>13.709</v>
      </c>
      <c r="D153">
        <v>-0.78</v>
      </c>
      <c r="E153">
        <v>0.15</v>
      </c>
      <c r="F153">
        <v>-0.64</v>
      </c>
      <c r="G153">
        <f t="shared" si="30"/>
        <v>0</v>
      </c>
      <c r="H153">
        <f t="shared" si="31"/>
        <v>0</v>
      </c>
      <c r="I153">
        <f t="shared" si="32"/>
        <v>6.0000000000000053E-2</v>
      </c>
      <c r="J153">
        <f t="shared" si="24"/>
        <v>0</v>
      </c>
      <c r="K153">
        <f t="shared" si="25"/>
        <v>0</v>
      </c>
      <c r="L153">
        <f t="shared" si="26"/>
        <v>-1.0697314499999999</v>
      </c>
      <c r="M153">
        <f t="shared" si="33"/>
        <v>-6.1804545075000002E-2</v>
      </c>
      <c r="N153">
        <f t="shared" si="34"/>
        <v>0</v>
      </c>
      <c r="O153">
        <f t="shared" si="35"/>
        <v>-0.39244573912499991</v>
      </c>
      <c r="P153">
        <v>37.08</v>
      </c>
      <c r="R153">
        <v>13.709</v>
      </c>
      <c r="S153">
        <f t="shared" si="27"/>
        <v>39.244573912499995</v>
      </c>
    </row>
    <row r="154" spans="1:19" x14ac:dyDescent="0.3">
      <c r="A154">
        <v>11331987</v>
      </c>
      <c r="B154">
        <f t="shared" si="28"/>
        <v>9.0999999999999998E-2</v>
      </c>
      <c r="C154">
        <f t="shared" si="29"/>
        <v>13.8</v>
      </c>
      <c r="D154">
        <v>-0.79</v>
      </c>
      <c r="E154">
        <v>0.16</v>
      </c>
      <c r="F154">
        <v>-0.64</v>
      </c>
      <c r="G154">
        <f t="shared" si="30"/>
        <v>1.0000000000000009E-2</v>
      </c>
      <c r="H154">
        <f t="shared" si="31"/>
        <v>1.0000000000000009E-2</v>
      </c>
      <c r="I154">
        <f t="shared" si="32"/>
        <v>0</v>
      </c>
      <c r="J154">
        <f t="shared" si="24"/>
        <v>0</v>
      </c>
      <c r="K154">
        <f t="shared" si="25"/>
        <v>0</v>
      </c>
      <c r="L154">
        <f t="shared" si="26"/>
        <v>0</v>
      </c>
      <c r="M154">
        <f t="shared" si="33"/>
        <v>-6.1804545075000002E-2</v>
      </c>
      <c r="N154">
        <f t="shared" si="34"/>
        <v>0</v>
      </c>
      <c r="O154">
        <f t="shared" si="35"/>
        <v>-0.44111852009999991</v>
      </c>
      <c r="P154">
        <v>38.33</v>
      </c>
      <c r="R154">
        <v>13.8</v>
      </c>
      <c r="S154">
        <f t="shared" si="27"/>
        <v>44.111852009999993</v>
      </c>
    </row>
    <row r="155" spans="1:19" x14ac:dyDescent="0.3">
      <c r="A155">
        <v>11332078</v>
      </c>
      <c r="B155">
        <f t="shared" si="28"/>
        <v>9.0999999999999998E-2</v>
      </c>
      <c r="C155">
        <f t="shared" si="29"/>
        <v>13.891</v>
      </c>
      <c r="D155">
        <v>-0.8</v>
      </c>
      <c r="E155">
        <v>0.15</v>
      </c>
      <c r="F155" s="5">
        <v>-0.62</v>
      </c>
      <c r="G155">
        <f t="shared" si="30"/>
        <v>1.0000000000000009E-2</v>
      </c>
      <c r="H155">
        <f t="shared" si="31"/>
        <v>1.0000000000000009E-2</v>
      </c>
      <c r="I155">
        <f t="shared" si="32"/>
        <v>2.0000000000000018E-2</v>
      </c>
      <c r="J155">
        <f t="shared" si="24"/>
        <v>0</v>
      </c>
      <c r="K155">
        <f t="shared" si="25"/>
        <v>0</v>
      </c>
      <c r="L155">
        <f t="shared" si="26"/>
        <v>0</v>
      </c>
      <c r="M155">
        <f t="shared" si="33"/>
        <v>-6.1804545075000002E-2</v>
      </c>
      <c r="N155">
        <f t="shared" si="34"/>
        <v>0</v>
      </c>
      <c r="O155">
        <f t="shared" si="35"/>
        <v>-0.44111852009999991</v>
      </c>
      <c r="P155">
        <v>39.58</v>
      </c>
      <c r="R155">
        <v>13.891</v>
      </c>
      <c r="S155">
        <f t="shared" si="27"/>
        <v>44.111852009999993</v>
      </c>
    </row>
    <row r="156" spans="1:19" x14ac:dyDescent="0.3">
      <c r="A156">
        <v>11332168</v>
      </c>
      <c r="B156">
        <f t="shared" si="28"/>
        <v>0.09</v>
      </c>
      <c r="C156">
        <f t="shared" si="29"/>
        <v>13.981</v>
      </c>
      <c r="D156">
        <v>-0.8</v>
      </c>
      <c r="E156">
        <v>0.15</v>
      </c>
      <c r="F156" s="5">
        <v>-0.6</v>
      </c>
      <c r="G156">
        <f t="shared" si="30"/>
        <v>0</v>
      </c>
      <c r="H156">
        <f t="shared" si="31"/>
        <v>0</v>
      </c>
      <c r="I156">
        <f t="shared" si="32"/>
        <v>2.0000000000000018E-2</v>
      </c>
      <c r="J156">
        <f t="shared" si="24"/>
        <v>0</v>
      </c>
      <c r="K156">
        <f t="shared" si="25"/>
        <v>0</v>
      </c>
      <c r="L156">
        <f t="shared" si="26"/>
        <v>0</v>
      </c>
      <c r="M156">
        <f t="shared" si="33"/>
        <v>-6.1804545075000002E-2</v>
      </c>
      <c r="N156">
        <f t="shared" si="34"/>
        <v>0</v>
      </c>
      <c r="O156">
        <f t="shared" si="35"/>
        <v>-0.44111852009999991</v>
      </c>
      <c r="P156">
        <v>40.210000000000008</v>
      </c>
      <c r="R156">
        <v>13.981</v>
      </c>
      <c r="S156">
        <f t="shared" si="27"/>
        <v>44.111852009999993</v>
      </c>
    </row>
    <row r="157" spans="1:19" x14ac:dyDescent="0.3">
      <c r="A157">
        <v>11332259</v>
      </c>
      <c r="B157">
        <f t="shared" si="28"/>
        <v>9.0999999999999998E-2</v>
      </c>
      <c r="C157">
        <f t="shared" si="29"/>
        <v>14.071999999999999</v>
      </c>
      <c r="D157">
        <v>-0.8</v>
      </c>
      <c r="E157">
        <v>0.16</v>
      </c>
      <c r="F157">
        <v>-0.57999999999999996</v>
      </c>
      <c r="G157">
        <f t="shared" si="30"/>
        <v>0</v>
      </c>
      <c r="H157">
        <f t="shared" si="31"/>
        <v>1.0000000000000009E-2</v>
      </c>
      <c r="I157">
        <f t="shared" si="32"/>
        <v>2.0000000000000018E-2</v>
      </c>
      <c r="J157">
        <f t="shared" si="24"/>
        <v>0</v>
      </c>
      <c r="K157">
        <f t="shared" si="25"/>
        <v>0</v>
      </c>
      <c r="L157">
        <f t="shared" si="26"/>
        <v>0</v>
      </c>
      <c r="M157">
        <f t="shared" si="33"/>
        <v>-6.1804545075000002E-2</v>
      </c>
      <c r="N157">
        <f t="shared" si="34"/>
        <v>0</v>
      </c>
      <c r="O157">
        <f t="shared" si="35"/>
        <v>-0.44111852009999991</v>
      </c>
      <c r="P157">
        <v>40.620000000000005</v>
      </c>
      <c r="R157">
        <v>14.071999999999999</v>
      </c>
      <c r="S157">
        <f t="shared" si="27"/>
        <v>44.111852009999993</v>
      </c>
    </row>
    <row r="158" spans="1:19" x14ac:dyDescent="0.3">
      <c r="A158">
        <v>11332350</v>
      </c>
      <c r="B158">
        <f t="shared" si="28"/>
        <v>9.0999999999999998E-2</v>
      </c>
      <c r="C158">
        <f t="shared" si="29"/>
        <v>14.163</v>
      </c>
      <c r="D158">
        <v>-0.81</v>
      </c>
      <c r="E158">
        <v>0.16</v>
      </c>
      <c r="F158">
        <v>-0.56999999999999995</v>
      </c>
      <c r="G158">
        <f t="shared" si="30"/>
        <v>1.0000000000000009E-2</v>
      </c>
      <c r="H158">
        <f t="shared" si="31"/>
        <v>0</v>
      </c>
      <c r="I158">
        <f t="shared" si="32"/>
        <v>1.0000000000000009E-2</v>
      </c>
      <c r="J158">
        <f t="shared" si="24"/>
        <v>0</v>
      </c>
      <c r="K158">
        <f t="shared" si="25"/>
        <v>0</v>
      </c>
      <c r="L158">
        <f t="shared" si="26"/>
        <v>0</v>
      </c>
      <c r="M158">
        <f t="shared" si="33"/>
        <v>-6.1804545075000002E-2</v>
      </c>
      <c r="N158">
        <f t="shared" si="34"/>
        <v>0</v>
      </c>
      <c r="O158">
        <f t="shared" si="35"/>
        <v>-0.44111852009999991</v>
      </c>
      <c r="P158">
        <v>40.83</v>
      </c>
      <c r="R158">
        <v>14.163</v>
      </c>
      <c r="S158">
        <f t="shared" si="27"/>
        <v>44.111852009999993</v>
      </c>
    </row>
    <row r="159" spans="1:19" x14ac:dyDescent="0.3">
      <c r="A159">
        <v>11332441</v>
      </c>
      <c r="B159">
        <f t="shared" si="28"/>
        <v>9.0999999999999998E-2</v>
      </c>
      <c r="C159">
        <f t="shared" si="29"/>
        <v>14.254</v>
      </c>
      <c r="D159">
        <v>-0.8</v>
      </c>
      <c r="E159">
        <v>0.16</v>
      </c>
      <c r="F159">
        <v>-0.56000000000000005</v>
      </c>
      <c r="G159">
        <f t="shared" si="30"/>
        <v>1.0000000000000009E-2</v>
      </c>
      <c r="H159">
        <f t="shared" si="31"/>
        <v>0</v>
      </c>
      <c r="I159">
        <f t="shared" si="32"/>
        <v>9.9999999999998979E-3</v>
      </c>
      <c r="J159">
        <f t="shared" si="24"/>
        <v>0</v>
      </c>
      <c r="K159">
        <f t="shared" si="25"/>
        <v>0</v>
      </c>
      <c r="L159">
        <f t="shared" si="26"/>
        <v>0</v>
      </c>
      <c r="M159">
        <f t="shared" si="33"/>
        <v>-6.1804545075000002E-2</v>
      </c>
      <c r="N159">
        <f t="shared" si="34"/>
        <v>0</v>
      </c>
      <c r="O159">
        <f t="shared" si="35"/>
        <v>-0.44111852009999991</v>
      </c>
      <c r="P159">
        <v>40.42</v>
      </c>
      <c r="R159">
        <v>14.254</v>
      </c>
      <c r="S159">
        <f t="shared" si="27"/>
        <v>44.111852009999993</v>
      </c>
    </row>
    <row r="160" spans="1:19" x14ac:dyDescent="0.3">
      <c r="A160">
        <v>11332532</v>
      </c>
      <c r="B160">
        <f t="shared" si="28"/>
        <v>9.0999999999999998E-2</v>
      </c>
      <c r="C160">
        <f t="shared" si="29"/>
        <v>14.345000000000001</v>
      </c>
      <c r="D160">
        <v>-0.8</v>
      </c>
      <c r="E160">
        <v>0.15</v>
      </c>
      <c r="F160">
        <v>-0.56999999999999995</v>
      </c>
      <c r="G160">
        <f t="shared" si="30"/>
        <v>0</v>
      </c>
      <c r="H160">
        <f t="shared" si="31"/>
        <v>1.0000000000000009E-2</v>
      </c>
      <c r="I160">
        <f t="shared" si="32"/>
        <v>9.9999999999998979E-3</v>
      </c>
      <c r="J160">
        <f t="shared" si="24"/>
        <v>0</v>
      </c>
      <c r="K160">
        <f t="shared" si="25"/>
        <v>0</v>
      </c>
      <c r="L160">
        <f t="shared" si="26"/>
        <v>0</v>
      </c>
      <c r="M160">
        <f t="shared" si="33"/>
        <v>-6.1804545075000002E-2</v>
      </c>
      <c r="N160">
        <f t="shared" si="34"/>
        <v>0</v>
      </c>
      <c r="O160">
        <f t="shared" si="35"/>
        <v>-0.44111852009999991</v>
      </c>
      <c r="P160">
        <v>40.83</v>
      </c>
      <c r="R160">
        <v>14.345000000000001</v>
      </c>
      <c r="S160">
        <f t="shared" si="27"/>
        <v>44.111852009999993</v>
      </c>
    </row>
    <row r="161" spans="1:19" x14ac:dyDescent="0.3">
      <c r="A161">
        <v>11332623</v>
      </c>
      <c r="B161">
        <f t="shared" si="28"/>
        <v>9.0999999999999998E-2</v>
      </c>
      <c r="C161">
        <f t="shared" si="29"/>
        <v>14.436</v>
      </c>
      <c r="D161">
        <v>-0.8</v>
      </c>
      <c r="E161">
        <v>0.16</v>
      </c>
      <c r="F161">
        <v>-0.56000000000000005</v>
      </c>
      <c r="G161">
        <f t="shared" si="30"/>
        <v>0</v>
      </c>
      <c r="H161">
        <f t="shared" si="31"/>
        <v>1.0000000000000009E-2</v>
      </c>
      <c r="I161">
        <f t="shared" si="32"/>
        <v>9.9999999999998979E-3</v>
      </c>
      <c r="J161">
        <f t="shared" si="24"/>
        <v>0</v>
      </c>
      <c r="K161">
        <f t="shared" si="25"/>
        <v>0</v>
      </c>
      <c r="L161">
        <f t="shared" si="26"/>
        <v>0</v>
      </c>
      <c r="M161">
        <f t="shared" si="33"/>
        <v>-6.1804545075000002E-2</v>
      </c>
      <c r="N161">
        <f t="shared" si="34"/>
        <v>0</v>
      </c>
      <c r="O161">
        <f t="shared" si="35"/>
        <v>-0.44111852009999991</v>
      </c>
      <c r="P161">
        <v>41.460000000000008</v>
      </c>
      <c r="R161">
        <v>14.436</v>
      </c>
      <c r="S161">
        <f t="shared" si="27"/>
        <v>44.111852009999993</v>
      </c>
    </row>
    <row r="162" spans="1:19" x14ac:dyDescent="0.3">
      <c r="A162">
        <v>11332713</v>
      </c>
      <c r="B162">
        <f t="shared" si="28"/>
        <v>0.09</v>
      </c>
      <c r="C162">
        <f t="shared" si="29"/>
        <v>14.526</v>
      </c>
      <c r="D162">
        <v>-0.81</v>
      </c>
      <c r="E162">
        <v>0.15</v>
      </c>
      <c r="F162">
        <v>-0.56999999999999995</v>
      </c>
      <c r="G162">
        <f t="shared" si="30"/>
        <v>1.0000000000000009E-2</v>
      </c>
      <c r="H162">
        <f t="shared" si="31"/>
        <v>1.0000000000000009E-2</v>
      </c>
      <c r="I162">
        <f t="shared" si="32"/>
        <v>9.9999999999998979E-3</v>
      </c>
      <c r="J162">
        <f t="shared" si="24"/>
        <v>0</v>
      </c>
      <c r="K162">
        <f t="shared" si="25"/>
        <v>0</v>
      </c>
      <c r="L162">
        <f t="shared" si="26"/>
        <v>0</v>
      </c>
      <c r="M162">
        <f t="shared" si="33"/>
        <v>-6.1804545075000002E-2</v>
      </c>
      <c r="N162">
        <f t="shared" si="34"/>
        <v>0</v>
      </c>
      <c r="O162">
        <f t="shared" si="35"/>
        <v>-0.44111852009999991</v>
      </c>
      <c r="P162">
        <v>41.870000000000005</v>
      </c>
      <c r="R162">
        <v>14.526</v>
      </c>
      <c r="S162">
        <f t="shared" si="27"/>
        <v>44.111852009999993</v>
      </c>
    </row>
    <row r="163" spans="1:19" x14ac:dyDescent="0.3">
      <c r="A163">
        <v>11332804</v>
      </c>
      <c r="B163">
        <f t="shared" si="28"/>
        <v>9.0999999999999998E-2</v>
      </c>
      <c r="C163">
        <f t="shared" si="29"/>
        <v>14.617000000000001</v>
      </c>
      <c r="D163">
        <v>-0.81</v>
      </c>
      <c r="E163">
        <v>0.16</v>
      </c>
      <c r="F163">
        <v>-0.55000000000000004</v>
      </c>
      <c r="G163">
        <f t="shared" si="30"/>
        <v>0</v>
      </c>
      <c r="H163">
        <f t="shared" si="31"/>
        <v>1.0000000000000009E-2</v>
      </c>
      <c r="I163">
        <f t="shared" si="32"/>
        <v>1.9999999999999907E-2</v>
      </c>
      <c r="J163">
        <f t="shared" si="24"/>
        <v>0</v>
      </c>
      <c r="K163">
        <f t="shared" si="25"/>
        <v>0</v>
      </c>
      <c r="L163">
        <f t="shared" si="26"/>
        <v>0</v>
      </c>
      <c r="M163">
        <f t="shared" si="33"/>
        <v>-6.1804545075000002E-2</v>
      </c>
      <c r="N163">
        <f t="shared" si="34"/>
        <v>0</v>
      </c>
      <c r="O163">
        <f t="shared" si="35"/>
        <v>-0.44111852009999991</v>
      </c>
      <c r="P163">
        <v>41.460000000000008</v>
      </c>
      <c r="R163">
        <v>14.617000000000001</v>
      </c>
      <c r="S163">
        <f t="shared" si="27"/>
        <v>44.111852009999993</v>
      </c>
    </row>
    <row r="164" spans="1:19" x14ac:dyDescent="0.3">
      <c r="A164">
        <v>11332895</v>
      </c>
      <c r="B164">
        <f t="shared" si="28"/>
        <v>9.0999999999999998E-2</v>
      </c>
      <c r="C164">
        <f t="shared" si="29"/>
        <v>14.708</v>
      </c>
      <c r="D164">
        <v>-0.81</v>
      </c>
      <c r="E164">
        <v>0.16</v>
      </c>
      <c r="F164">
        <v>-0.56000000000000005</v>
      </c>
      <c r="G164">
        <f t="shared" si="30"/>
        <v>0</v>
      </c>
      <c r="H164">
        <f t="shared" si="31"/>
        <v>0</v>
      </c>
      <c r="I164">
        <f t="shared" si="32"/>
        <v>1.0000000000000009E-2</v>
      </c>
      <c r="J164">
        <f t="shared" si="24"/>
        <v>0</v>
      </c>
      <c r="K164">
        <f t="shared" si="25"/>
        <v>0</v>
      </c>
      <c r="L164">
        <f t="shared" si="26"/>
        <v>0</v>
      </c>
      <c r="M164">
        <f t="shared" si="33"/>
        <v>-6.1804545075000002E-2</v>
      </c>
      <c r="N164">
        <f t="shared" si="34"/>
        <v>0</v>
      </c>
      <c r="O164">
        <f t="shared" si="35"/>
        <v>-0.44111852009999991</v>
      </c>
      <c r="P164">
        <v>41.67</v>
      </c>
      <c r="R164">
        <v>14.708</v>
      </c>
      <c r="S164">
        <f t="shared" si="27"/>
        <v>44.111852009999993</v>
      </c>
    </row>
    <row r="165" spans="1:19" x14ac:dyDescent="0.3">
      <c r="A165">
        <v>11332985</v>
      </c>
      <c r="B165">
        <f t="shared" si="28"/>
        <v>0.09</v>
      </c>
      <c r="C165">
        <f t="shared" si="29"/>
        <v>14.798</v>
      </c>
      <c r="D165">
        <v>-0.81</v>
      </c>
      <c r="E165">
        <v>0.15</v>
      </c>
      <c r="F165">
        <v>-0.54</v>
      </c>
      <c r="G165">
        <f t="shared" si="30"/>
        <v>0</v>
      </c>
      <c r="H165">
        <f t="shared" si="31"/>
        <v>1.0000000000000009E-2</v>
      </c>
      <c r="I165">
        <f t="shared" si="32"/>
        <v>2.0000000000000018E-2</v>
      </c>
      <c r="J165">
        <f t="shared" si="24"/>
        <v>0</v>
      </c>
      <c r="K165">
        <f t="shared" si="25"/>
        <v>0</v>
      </c>
      <c r="L165">
        <f t="shared" si="26"/>
        <v>0</v>
      </c>
      <c r="M165">
        <f t="shared" si="33"/>
        <v>-6.1804545075000002E-2</v>
      </c>
      <c r="N165">
        <f t="shared" si="34"/>
        <v>0</v>
      </c>
      <c r="O165">
        <f t="shared" si="35"/>
        <v>-0.44111852009999991</v>
      </c>
      <c r="P165">
        <v>42.290000000000006</v>
      </c>
      <c r="R165">
        <v>14.798</v>
      </c>
      <c r="S165">
        <f t="shared" si="27"/>
        <v>44.111852009999993</v>
      </c>
    </row>
    <row r="166" spans="1:19" x14ac:dyDescent="0.3">
      <c r="A166">
        <v>11333076</v>
      </c>
      <c r="B166">
        <f t="shared" si="28"/>
        <v>9.0999999999999998E-2</v>
      </c>
      <c r="C166">
        <f t="shared" si="29"/>
        <v>14.888999999999999</v>
      </c>
      <c r="D166">
        <v>-0.82</v>
      </c>
      <c r="E166">
        <v>0.15</v>
      </c>
      <c r="F166">
        <v>-0.55000000000000004</v>
      </c>
      <c r="G166">
        <f t="shared" si="30"/>
        <v>9.9999999999998979E-3</v>
      </c>
      <c r="H166">
        <f t="shared" si="31"/>
        <v>0</v>
      </c>
      <c r="I166">
        <f t="shared" si="32"/>
        <v>1.0000000000000009E-2</v>
      </c>
      <c r="J166">
        <f t="shared" si="24"/>
        <v>0</v>
      </c>
      <c r="K166">
        <f t="shared" si="25"/>
        <v>0</v>
      </c>
      <c r="L166">
        <f t="shared" si="26"/>
        <v>0</v>
      </c>
      <c r="M166">
        <f t="shared" si="33"/>
        <v>-6.1804545075000002E-2</v>
      </c>
      <c r="N166">
        <f t="shared" si="34"/>
        <v>0</v>
      </c>
      <c r="O166">
        <f t="shared" si="35"/>
        <v>-0.44111852009999991</v>
      </c>
      <c r="P166">
        <v>42.08</v>
      </c>
      <c r="R166">
        <v>14.888999999999999</v>
      </c>
      <c r="S166">
        <f t="shared" si="27"/>
        <v>44.111852009999993</v>
      </c>
    </row>
    <row r="167" spans="1:19" x14ac:dyDescent="0.3">
      <c r="A167">
        <v>11333168</v>
      </c>
      <c r="B167">
        <f t="shared" si="28"/>
        <v>9.1999999999999998E-2</v>
      </c>
      <c r="C167">
        <f t="shared" si="29"/>
        <v>14.981</v>
      </c>
      <c r="D167">
        <v>-0.81</v>
      </c>
      <c r="E167">
        <v>0.16</v>
      </c>
      <c r="F167">
        <v>-0.54</v>
      </c>
      <c r="G167">
        <f t="shared" si="30"/>
        <v>9.9999999999998979E-3</v>
      </c>
      <c r="H167">
        <f t="shared" si="31"/>
        <v>1.0000000000000009E-2</v>
      </c>
      <c r="I167">
        <f t="shared" si="32"/>
        <v>1.0000000000000009E-2</v>
      </c>
      <c r="J167">
        <f t="shared" si="24"/>
        <v>0</v>
      </c>
      <c r="K167">
        <f t="shared" si="25"/>
        <v>0</v>
      </c>
      <c r="L167">
        <f t="shared" si="26"/>
        <v>0</v>
      </c>
      <c r="M167">
        <f t="shared" si="33"/>
        <v>-6.1804545075000002E-2</v>
      </c>
      <c r="N167">
        <f t="shared" si="34"/>
        <v>0</v>
      </c>
      <c r="O167">
        <f t="shared" si="35"/>
        <v>-0.44111852009999991</v>
      </c>
      <c r="P167">
        <v>41.870000000000005</v>
      </c>
      <c r="R167">
        <v>14.981</v>
      </c>
      <c r="S167">
        <f t="shared" si="27"/>
        <v>44.111852009999993</v>
      </c>
    </row>
    <row r="168" spans="1:19" x14ac:dyDescent="0.3">
      <c r="A168">
        <v>11333258</v>
      </c>
      <c r="B168">
        <f t="shared" si="28"/>
        <v>0.09</v>
      </c>
      <c r="C168">
        <f t="shared" si="29"/>
        <v>15.071</v>
      </c>
      <c r="D168">
        <v>-0.81</v>
      </c>
      <c r="E168">
        <v>0.16</v>
      </c>
      <c r="F168">
        <v>-0.54</v>
      </c>
      <c r="G168">
        <f t="shared" si="30"/>
        <v>0</v>
      </c>
      <c r="H168">
        <f t="shared" si="31"/>
        <v>0</v>
      </c>
      <c r="I168">
        <f t="shared" si="32"/>
        <v>0</v>
      </c>
      <c r="J168">
        <f t="shared" si="24"/>
        <v>0</v>
      </c>
      <c r="K168">
        <f t="shared" si="25"/>
        <v>0</v>
      </c>
      <c r="L168">
        <f t="shared" si="26"/>
        <v>0</v>
      </c>
      <c r="M168">
        <f t="shared" si="33"/>
        <v>-6.1804545075000002E-2</v>
      </c>
      <c r="N168">
        <f t="shared" si="34"/>
        <v>0</v>
      </c>
      <c r="O168">
        <f t="shared" si="35"/>
        <v>-0.44111852009999991</v>
      </c>
      <c r="P168">
        <v>42.08</v>
      </c>
      <c r="R168">
        <v>15.071</v>
      </c>
      <c r="S168">
        <f t="shared" si="27"/>
        <v>44.111852009999993</v>
      </c>
    </row>
    <row r="169" spans="1:19" x14ac:dyDescent="0.3">
      <c r="A169">
        <v>11333349</v>
      </c>
      <c r="B169">
        <f t="shared" si="28"/>
        <v>9.0999999999999998E-2</v>
      </c>
      <c r="C169">
        <f t="shared" si="29"/>
        <v>15.162000000000001</v>
      </c>
      <c r="D169">
        <v>-0.81</v>
      </c>
      <c r="E169">
        <v>0.15</v>
      </c>
      <c r="F169">
        <v>-0.55000000000000004</v>
      </c>
      <c r="G169">
        <f t="shared" si="30"/>
        <v>0</v>
      </c>
      <c r="H169">
        <f t="shared" si="31"/>
        <v>1.0000000000000009E-2</v>
      </c>
      <c r="I169">
        <f t="shared" si="32"/>
        <v>1.0000000000000009E-2</v>
      </c>
      <c r="J169">
        <f t="shared" si="24"/>
        <v>0</v>
      </c>
      <c r="K169">
        <f t="shared" si="25"/>
        <v>0</v>
      </c>
      <c r="L169">
        <f t="shared" si="26"/>
        <v>0</v>
      </c>
      <c r="M169">
        <f t="shared" si="33"/>
        <v>-6.1804545075000002E-2</v>
      </c>
      <c r="N169">
        <f t="shared" si="34"/>
        <v>0</v>
      </c>
      <c r="O169">
        <f t="shared" si="35"/>
        <v>-0.44111852009999991</v>
      </c>
      <c r="P169">
        <v>42.92</v>
      </c>
      <c r="R169">
        <v>15.162000000000001</v>
      </c>
      <c r="S169">
        <f t="shared" si="27"/>
        <v>44.111852009999993</v>
      </c>
    </row>
    <row r="170" spans="1:19" x14ac:dyDescent="0.3">
      <c r="A170">
        <v>11333440</v>
      </c>
      <c r="B170">
        <f t="shared" si="28"/>
        <v>9.0999999999999998E-2</v>
      </c>
      <c r="C170">
        <f t="shared" si="29"/>
        <v>15.253</v>
      </c>
      <c r="D170">
        <v>-0.81</v>
      </c>
      <c r="E170">
        <v>0.16</v>
      </c>
      <c r="F170">
        <v>-0.54</v>
      </c>
      <c r="G170">
        <f t="shared" si="30"/>
        <v>0</v>
      </c>
      <c r="H170">
        <f t="shared" si="31"/>
        <v>1.0000000000000009E-2</v>
      </c>
      <c r="I170">
        <f t="shared" si="32"/>
        <v>1.0000000000000009E-2</v>
      </c>
      <c r="J170">
        <f t="shared" si="24"/>
        <v>0</v>
      </c>
      <c r="K170">
        <f t="shared" si="25"/>
        <v>0</v>
      </c>
      <c r="L170">
        <f t="shared" si="26"/>
        <v>0</v>
      </c>
      <c r="M170">
        <f t="shared" si="33"/>
        <v>-6.1804545075000002E-2</v>
      </c>
      <c r="N170">
        <f t="shared" si="34"/>
        <v>0</v>
      </c>
      <c r="O170">
        <f t="shared" si="35"/>
        <v>-0.44111852009999991</v>
      </c>
      <c r="P170">
        <v>42.5</v>
      </c>
      <c r="R170">
        <v>15.253</v>
      </c>
      <c r="S170">
        <f t="shared" si="27"/>
        <v>44.111852009999993</v>
      </c>
    </row>
    <row r="171" spans="1:19" x14ac:dyDescent="0.3">
      <c r="A171">
        <v>11333530</v>
      </c>
      <c r="B171">
        <f t="shared" si="28"/>
        <v>0.09</v>
      </c>
      <c r="C171">
        <f t="shared" si="29"/>
        <v>15.343</v>
      </c>
      <c r="D171">
        <v>-0.81</v>
      </c>
      <c r="E171">
        <v>0.16</v>
      </c>
      <c r="F171">
        <v>-0.54</v>
      </c>
      <c r="G171">
        <f t="shared" si="30"/>
        <v>0</v>
      </c>
      <c r="H171">
        <f t="shared" si="31"/>
        <v>0</v>
      </c>
      <c r="I171">
        <f t="shared" si="32"/>
        <v>0</v>
      </c>
      <c r="J171">
        <f t="shared" si="24"/>
        <v>0</v>
      </c>
      <c r="K171">
        <f t="shared" si="25"/>
        <v>0</v>
      </c>
      <c r="L171">
        <f t="shared" si="26"/>
        <v>0</v>
      </c>
      <c r="M171">
        <f t="shared" si="33"/>
        <v>-6.1804545075000002E-2</v>
      </c>
      <c r="N171">
        <f t="shared" si="34"/>
        <v>0</v>
      </c>
      <c r="O171">
        <f t="shared" si="35"/>
        <v>-0.44111852009999991</v>
      </c>
      <c r="P171">
        <v>42.5</v>
      </c>
      <c r="R171">
        <v>15.343</v>
      </c>
      <c r="S171">
        <f t="shared" si="27"/>
        <v>44.111852009999993</v>
      </c>
    </row>
    <row r="172" spans="1:19" x14ac:dyDescent="0.3">
      <c r="A172">
        <v>11333621</v>
      </c>
      <c r="B172">
        <f t="shared" si="28"/>
        <v>9.0999999999999998E-2</v>
      </c>
      <c r="C172">
        <f t="shared" si="29"/>
        <v>15.433999999999999</v>
      </c>
      <c r="D172">
        <v>-0.81</v>
      </c>
      <c r="E172">
        <v>0.16</v>
      </c>
      <c r="F172">
        <v>-0.54</v>
      </c>
      <c r="G172">
        <f t="shared" si="30"/>
        <v>0</v>
      </c>
      <c r="H172">
        <f t="shared" si="31"/>
        <v>0</v>
      </c>
      <c r="I172">
        <f t="shared" si="32"/>
        <v>0</v>
      </c>
      <c r="J172">
        <f t="shared" si="24"/>
        <v>0</v>
      </c>
      <c r="K172">
        <f t="shared" si="25"/>
        <v>0</v>
      </c>
      <c r="L172">
        <f t="shared" si="26"/>
        <v>0</v>
      </c>
      <c r="M172">
        <f t="shared" si="33"/>
        <v>-6.1804545075000002E-2</v>
      </c>
      <c r="N172">
        <f t="shared" si="34"/>
        <v>0</v>
      </c>
      <c r="O172">
        <f t="shared" si="35"/>
        <v>-0.44111852009999991</v>
      </c>
      <c r="P172">
        <v>41.870000000000005</v>
      </c>
      <c r="R172">
        <v>15.433999999999999</v>
      </c>
      <c r="S172">
        <f t="shared" si="27"/>
        <v>44.111852009999993</v>
      </c>
    </row>
    <row r="173" spans="1:19" x14ac:dyDescent="0.3">
      <c r="A173">
        <v>11333712</v>
      </c>
      <c r="B173">
        <f t="shared" si="28"/>
        <v>9.0999999999999998E-2</v>
      </c>
      <c r="C173">
        <f t="shared" si="29"/>
        <v>15.525</v>
      </c>
      <c r="D173">
        <v>-0.81</v>
      </c>
      <c r="E173">
        <v>0.16</v>
      </c>
      <c r="F173">
        <v>-0.54</v>
      </c>
      <c r="G173">
        <f t="shared" si="30"/>
        <v>0</v>
      </c>
      <c r="H173">
        <f t="shared" si="31"/>
        <v>0</v>
      </c>
      <c r="I173">
        <f t="shared" si="32"/>
        <v>0</v>
      </c>
      <c r="J173">
        <f t="shared" si="24"/>
        <v>0</v>
      </c>
      <c r="K173">
        <f t="shared" si="25"/>
        <v>0</v>
      </c>
      <c r="L173">
        <f t="shared" si="26"/>
        <v>0</v>
      </c>
      <c r="M173">
        <f t="shared" si="33"/>
        <v>-6.1804545075000002E-2</v>
      </c>
      <c r="N173">
        <f t="shared" si="34"/>
        <v>0</v>
      </c>
      <c r="O173">
        <f t="shared" si="35"/>
        <v>-0.44111852009999991</v>
      </c>
      <c r="P173">
        <v>42.290000000000006</v>
      </c>
      <c r="R173">
        <v>15.525</v>
      </c>
      <c r="S173">
        <f t="shared" si="27"/>
        <v>44.111852009999993</v>
      </c>
    </row>
    <row r="174" spans="1:19" x14ac:dyDescent="0.3">
      <c r="A174">
        <v>11333803</v>
      </c>
      <c r="B174">
        <f t="shared" si="28"/>
        <v>9.0999999999999998E-2</v>
      </c>
      <c r="C174">
        <f t="shared" si="29"/>
        <v>15.616</v>
      </c>
      <c r="D174">
        <v>-0.81</v>
      </c>
      <c r="E174">
        <v>0.16</v>
      </c>
      <c r="F174">
        <v>-0.54</v>
      </c>
      <c r="G174">
        <f t="shared" si="30"/>
        <v>0</v>
      </c>
      <c r="H174">
        <f t="shared" si="31"/>
        <v>0</v>
      </c>
      <c r="I174">
        <f t="shared" si="32"/>
        <v>0</v>
      </c>
      <c r="J174">
        <f t="shared" si="24"/>
        <v>0</v>
      </c>
      <c r="K174">
        <f t="shared" si="25"/>
        <v>0</v>
      </c>
      <c r="L174">
        <f t="shared" si="26"/>
        <v>0</v>
      </c>
      <c r="M174">
        <f t="shared" si="33"/>
        <v>-6.1804545075000002E-2</v>
      </c>
      <c r="N174">
        <f t="shared" si="34"/>
        <v>0</v>
      </c>
      <c r="O174">
        <f t="shared" si="35"/>
        <v>-0.44111852009999991</v>
      </c>
      <c r="P174">
        <v>42.290000000000006</v>
      </c>
      <c r="R174">
        <v>15.616</v>
      </c>
      <c r="S174">
        <f t="shared" si="27"/>
        <v>44.111852009999993</v>
      </c>
    </row>
    <row r="175" spans="1:19" x14ac:dyDescent="0.3">
      <c r="A175">
        <v>11333894</v>
      </c>
      <c r="B175">
        <f t="shared" si="28"/>
        <v>9.0999999999999998E-2</v>
      </c>
      <c r="C175">
        <f t="shared" si="29"/>
        <v>15.707000000000001</v>
      </c>
      <c r="D175">
        <v>-0.82</v>
      </c>
      <c r="E175">
        <v>0.15</v>
      </c>
      <c r="F175">
        <v>-0.54</v>
      </c>
      <c r="G175">
        <f t="shared" si="30"/>
        <v>9.9999999999998979E-3</v>
      </c>
      <c r="H175">
        <f t="shared" si="31"/>
        <v>1.0000000000000009E-2</v>
      </c>
      <c r="I175">
        <f t="shared" si="32"/>
        <v>0</v>
      </c>
      <c r="J175">
        <f t="shared" si="24"/>
        <v>0</v>
      </c>
      <c r="K175">
        <f t="shared" si="25"/>
        <v>0</v>
      </c>
      <c r="L175">
        <f t="shared" si="26"/>
        <v>0</v>
      </c>
      <c r="M175">
        <f t="shared" si="33"/>
        <v>-6.1804545075000002E-2</v>
      </c>
      <c r="N175">
        <f t="shared" si="34"/>
        <v>0</v>
      </c>
      <c r="O175">
        <f t="shared" si="35"/>
        <v>-0.44111852009999991</v>
      </c>
      <c r="P175">
        <v>42.710000000000008</v>
      </c>
      <c r="R175">
        <v>15.707000000000001</v>
      </c>
      <c r="S175">
        <f t="shared" si="27"/>
        <v>44.111852009999993</v>
      </c>
    </row>
    <row r="176" spans="1:19" x14ac:dyDescent="0.3">
      <c r="A176">
        <v>11333985</v>
      </c>
      <c r="B176">
        <f t="shared" si="28"/>
        <v>9.0999999999999998E-2</v>
      </c>
      <c r="C176">
        <f t="shared" si="29"/>
        <v>15.798</v>
      </c>
      <c r="D176">
        <v>-0.82</v>
      </c>
      <c r="E176">
        <v>0.16</v>
      </c>
      <c r="F176">
        <v>-0.54</v>
      </c>
      <c r="G176">
        <f t="shared" si="30"/>
        <v>0</v>
      </c>
      <c r="H176">
        <f t="shared" si="31"/>
        <v>1.0000000000000009E-2</v>
      </c>
      <c r="I176">
        <f t="shared" si="32"/>
        <v>0</v>
      </c>
      <c r="J176">
        <f t="shared" si="24"/>
        <v>0</v>
      </c>
      <c r="K176">
        <f t="shared" si="25"/>
        <v>0</v>
      </c>
      <c r="L176">
        <f t="shared" si="26"/>
        <v>0</v>
      </c>
      <c r="M176">
        <f t="shared" si="33"/>
        <v>-6.1804545075000002E-2</v>
      </c>
      <c r="N176">
        <f t="shared" si="34"/>
        <v>0</v>
      </c>
      <c r="O176">
        <f t="shared" si="35"/>
        <v>-0.44111852009999991</v>
      </c>
      <c r="P176">
        <v>42.710000000000008</v>
      </c>
      <c r="R176">
        <v>15.798</v>
      </c>
      <c r="S176">
        <f t="shared" si="27"/>
        <v>44.111852009999993</v>
      </c>
    </row>
    <row r="177" spans="1:19" x14ac:dyDescent="0.3">
      <c r="A177">
        <v>11334075</v>
      </c>
      <c r="B177">
        <f t="shared" si="28"/>
        <v>0.09</v>
      </c>
      <c r="C177">
        <f t="shared" si="29"/>
        <v>15.888</v>
      </c>
      <c r="D177">
        <v>-0.82</v>
      </c>
      <c r="E177">
        <v>0.15</v>
      </c>
      <c r="F177">
        <v>-0.54</v>
      </c>
      <c r="G177">
        <f t="shared" si="30"/>
        <v>0</v>
      </c>
      <c r="H177">
        <f t="shared" si="31"/>
        <v>1.0000000000000009E-2</v>
      </c>
      <c r="I177">
        <f t="shared" si="32"/>
        <v>0</v>
      </c>
      <c r="J177">
        <f t="shared" si="24"/>
        <v>0</v>
      </c>
      <c r="K177">
        <f t="shared" si="25"/>
        <v>0</v>
      </c>
      <c r="L177">
        <f t="shared" si="26"/>
        <v>0</v>
      </c>
      <c r="M177">
        <f t="shared" si="33"/>
        <v>-6.1804545075000002E-2</v>
      </c>
      <c r="N177">
        <f t="shared" si="34"/>
        <v>0</v>
      </c>
      <c r="O177">
        <f t="shared" si="35"/>
        <v>-0.44111852009999991</v>
      </c>
      <c r="P177">
        <v>42.5</v>
      </c>
      <c r="R177">
        <v>15.888</v>
      </c>
      <c r="S177">
        <f t="shared" si="27"/>
        <v>44.111852009999993</v>
      </c>
    </row>
    <row r="178" spans="1:19" x14ac:dyDescent="0.3">
      <c r="A178">
        <v>11334166</v>
      </c>
      <c r="B178">
        <f t="shared" si="28"/>
        <v>9.0999999999999998E-2</v>
      </c>
      <c r="C178">
        <f t="shared" si="29"/>
        <v>15.978999999999999</v>
      </c>
      <c r="D178">
        <v>-0.81</v>
      </c>
      <c r="E178">
        <v>0.15</v>
      </c>
      <c r="F178">
        <v>-0.54</v>
      </c>
      <c r="G178">
        <f t="shared" si="30"/>
        <v>9.9999999999998979E-3</v>
      </c>
      <c r="H178">
        <f t="shared" si="31"/>
        <v>0</v>
      </c>
      <c r="I178">
        <f t="shared" si="32"/>
        <v>0</v>
      </c>
      <c r="J178">
        <f t="shared" si="24"/>
        <v>0</v>
      </c>
      <c r="K178">
        <f t="shared" si="25"/>
        <v>0</v>
      </c>
      <c r="L178">
        <f t="shared" si="26"/>
        <v>0</v>
      </c>
      <c r="M178">
        <f t="shared" si="33"/>
        <v>-6.1804545075000002E-2</v>
      </c>
      <c r="N178">
        <f t="shared" si="34"/>
        <v>0</v>
      </c>
      <c r="O178">
        <f t="shared" si="35"/>
        <v>-0.44111852009999991</v>
      </c>
      <c r="P178">
        <v>42.5</v>
      </c>
      <c r="R178">
        <v>15.978999999999999</v>
      </c>
      <c r="S178">
        <f t="shared" si="27"/>
        <v>44.111852009999993</v>
      </c>
    </row>
    <row r="179" spans="1:19" x14ac:dyDescent="0.3">
      <c r="A179">
        <v>11334257</v>
      </c>
      <c r="B179">
        <f t="shared" si="28"/>
        <v>9.0999999999999998E-2</v>
      </c>
      <c r="C179">
        <f t="shared" si="29"/>
        <v>16.07</v>
      </c>
      <c r="D179">
        <v>-0.81</v>
      </c>
      <c r="E179">
        <v>0.15</v>
      </c>
      <c r="F179">
        <v>-0.54</v>
      </c>
      <c r="G179">
        <f t="shared" si="30"/>
        <v>0</v>
      </c>
      <c r="H179">
        <f t="shared" si="31"/>
        <v>0</v>
      </c>
      <c r="I179">
        <f t="shared" si="32"/>
        <v>0</v>
      </c>
      <c r="J179">
        <f t="shared" si="24"/>
        <v>0</v>
      </c>
      <c r="K179">
        <f t="shared" si="25"/>
        <v>0</v>
      </c>
      <c r="L179">
        <f t="shared" si="26"/>
        <v>0</v>
      </c>
      <c r="M179">
        <f t="shared" si="33"/>
        <v>-6.1804545075000002E-2</v>
      </c>
      <c r="N179">
        <f t="shared" si="34"/>
        <v>0</v>
      </c>
      <c r="O179">
        <f t="shared" si="35"/>
        <v>-0.44111852009999991</v>
      </c>
      <c r="P179">
        <v>42.710000000000008</v>
      </c>
      <c r="R179">
        <v>16.07</v>
      </c>
      <c r="S179">
        <f t="shared" si="27"/>
        <v>44.111852009999993</v>
      </c>
    </row>
    <row r="180" spans="1:19" x14ac:dyDescent="0.3">
      <c r="A180">
        <v>11334347</v>
      </c>
      <c r="B180">
        <f t="shared" si="28"/>
        <v>0.09</v>
      </c>
      <c r="C180">
        <f t="shared" si="29"/>
        <v>16.16</v>
      </c>
      <c r="D180">
        <v>-0.82</v>
      </c>
      <c r="E180">
        <v>0.16</v>
      </c>
      <c r="F180">
        <v>-0.54</v>
      </c>
      <c r="G180">
        <f t="shared" si="30"/>
        <v>9.9999999999998979E-3</v>
      </c>
      <c r="H180">
        <f t="shared" si="31"/>
        <v>1.0000000000000009E-2</v>
      </c>
      <c r="I180">
        <f t="shared" si="32"/>
        <v>0</v>
      </c>
      <c r="J180">
        <f t="shared" si="24"/>
        <v>0</v>
      </c>
      <c r="K180">
        <f t="shared" si="25"/>
        <v>0</v>
      </c>
      <c r="L180">
        <f t="shared" si="26"/>
        <v>0</v>
      </c>
      <c r="M180">
        <f t="shared" si="33"/>
        <v>-6.1804545075000002E-2</v>
      </c>
      <c r="N180">
        <f t="shared" si="34"/>
        <v>0</v>
      </c>
      <c r="O180">
        <f t="shared" si="35"/>
        <v>-0.44111852009999991</v>
      </c>
      <c r="P180">
        <v>42.710000000000008</v>
      </c>
      <c r="R180">
        <v>16.16</v>
      </c>
      <c r="S180">
        <f t="shared" si="27"/>
        <v>44.111852009999993</v>
      </c>
    </row>
    <row r="181" spans="1:19" x14ac:dyDescent="0.3">
      <c r="A181">
        <v>11334438</v>
      </c>
      <c r="B181">
        <f t="shared" si="28"/>
        <v>9.0999999999999998E-2</v>
      </c>
      <c r="C181">
        <f t="shared" si="29"/>
        <v>16.251000000000001</v>
      </c>
      <c r="D181">
        <v>-0.82</v>
      </c>
      <c r="E181">
        <v>0.16</v>
      </c>
      <c r="F181">
        <v>-0.54</v>
      </c>
      <c r="G181">
        <f t="shared" si="30"/>
        <v>0</v>
      </c>
      <c r="H181">
        <f t="shared" si="31"/>
        <v>0</v>
      </c>
      <c r="I181">
        <f t="shared" si="32"/>
        <v>0</v>
      </c>
      <c r="J181">
        <f t="shared" si="24"/>
        <v>0</v>
      </c>
      <c r="K181">
        <f t="shared" si="25"/>
        <v>0</v>
      </c>
      <c r="L181">
        <f t="shared" si="26"/>
        <v>0</v>
      </c>
      <c r="M181">
        <f t="shared" si="33"/>
        <v>-6.1804545075000002E-2</v>
      </c>
      <c r="N181">
        <f t="shared" si="34"/>
        <v>0</v>
      </c>
      <c r="O181">
        <f t="shared" si="35"/>
        <v>-0.44111852009999991</v>
      </c>
      <c r="P181">
        <v>42.710000000000008</v>
      </c>
      <c r="R181">
        <v>16.251000000000001</v>
      </c>
      <c r="S181">
        <f t="shared" si="27"/>
        <v>44.111852009999993</v>
      </c>
    </row>
    <row r="182" spans="1:19" x14ac:dyDescent="0.3">
      <c r="A182">
        <v>11334530</v>
      </c>
      <c r="B182">
        <f t="shared" si="28"/>
        <v>9.1999999999999998E-2</v>
      </c>
      <c r="C182">
        <f t="shared" si="29"/>
        <v>16.343</v>
      </c>
      <c r="D182">
        <v>-0.81</v>
      </c>
      <c r="E182">
        <v>0.16</v>
      </c>
      <c r="F182">
        <v>-0.53</v>
      </c>
      <c r="G182">
        <f t="shared" si="30"/>
        <v>9.9999999999998979E-3</v>
      </c>
      <c r="H182">
        <f t="shared" si="31"/>
        <v>0</v>
      </c>
      <c r="I182">
        <f t="shared" si="32"/>
        <v>1.0000000000000009E-2</v>
      </c>
      <c r="J182">
        <f t="shared" si="24"/>
        <v>0</v>
      </c>
      <c r="K182">
        <f t="shared" si="25"/>
        <v>0</v>
      </c>
      <c r="L182">
        <f t="shared" si="26"/>
        <v>0</v>
      </c>
      <c r="M182">
        <f t="shared" si="33"/>
        <v>-6.1804545075000002E-2</v>
      </c>
      <c r="N182">
        <f t="shared" si="34"/>
        <v>0</v>
      </c>
      <c r="O182">
        <f t="shared" si="35"/>
        <v>-0.44111852009999991</v>
      </c>
      <c r="P182">
        <v>42.92</v>
      </c>
      <c r="R182">
        <v>16.343</v>
      </c>
      <c r="S182">
        <f t="shared" si="27"/>
        <v>44.111852009999993</v>
      </c>
    </row>
    <row r="183" spans="1:19" x14ac:dyDescent="0.3">
      <c r="A183">
        <v>11334620</v>
      </c>
      <c r="B183">
        <f t="shared" si="28"/>
        <v>0.09</v>
      </c>
      <c r="C183">
        <f t="shared" si="29"/>
        <v>16.433</v>
      </c>
      <c r="D183">
        <v>-0.82</v>
      </c>
      <c r="E183">
        <v>0.16</v>
      </c>
      <c r="F183">
        <v>-0.54</v>
      </c>
      <c r="G183">
        <f t="shared" si="30"/>
        <v>9.9999999999998979E-3</v>
      </c>
      <c r="H183">
        <f t="shared" si="31"/>
        <v>0</v>
      </c>
      <c r="I183">
        <f t="shared" si="32"/>
        <v>1.0000000000000009E-2</v>
      </c>
      <c r="J183">
        <f t="shared" si="24"/>
        <v>0</v>
      </c>
      <c r="K183">
        <f t="shared" si="25"/>
        <v>0</v>
      </c>
      <c r="L183">
        <f t="shared" si="26"/>
        <v>0</v>
      </c>
      <c r="M183">
        <f t="shared" si="33"/>
        <v>-6.1804545075000002E-2</v>
      </c>
      <c r="N183">
        <f t="shared" si="34"/>
        <v>0</v>
      </c>
      <c r="O183">
        <f t="shared" si="35"/>
        <v>-0.44111852009999991</v>
      </c>
      <c r="P183">
        <v>43.33</v>
      </c>
      <c r="R183">
        <v>16.433</v>
      </c>
      <c r="S183">
        <f t="shared" si="27"/>
        <v>44.111852009999993</v>
      </c>
    </row>
    <row r="184" spans="1:19" x14ac:dyDescent="0.3">
      <c r="A184">
        <v>11334711</v>
      </c>
      <c r="B184">
        <f t="shared" si="28"/>
        <v>9.0999999999999998E-2</v>
      </c>
      <c r="C184">
        <f t="shared" si="29"/>
        <v>16.524000000000001</v>
      </c>
      <c r="D184">
        <v>-0.82</v>
      </c>
      <c r="E184">
        <v>0.16</v>
      </c>
      <c r="F184">
        <v>-0.54</v>
      </c>
      <c r="G184">
        <f t="shared" si="30"/>
        <v>0</v>
      </c>
      <c r="H184">
        <f t="shared" si="31"/>
        <v>0</v>
      </c>
      <c r="I184">
        <f t="shared" si="32"/>
        <v>0</v>
      </c>
      <c r="J184">
        <f t="shared" si="24"/>
        <v>0</v>
      </c>
      <c r="K184">
        <f t="shared" si="25"/>
        <v>0</v>
      </c>
      <c r="L184">
        <f t="shared" si="26"/>
        <v>0</v>
      </c>
      <c r="M184">
        <f t="shared" si="33"/>
        <v>-6.1804545075000002E-2</v>
      </c>
      <c r="N184">
        <f t="shared" si="34"/>
        <v>0</v>
      </c>
      <c r="O184">
        <f t="shared" si="35"/>
        <v>-0.44111852009999991</v>
      </c>
      <c r="P184">
        <v>42.92</v>
      </c>
      <c r="R184">
        <v>16.524000000000001</v>
      </c>
      <c r="S184">
        <f t="shared" si="27"/>
        <v>44.111852009999993</v>
      </c>
    </row>
    <row r="185" spans="1:19" x14ac:dyDescent="0.3">
      <c r="A185">
        <v>11334802</v>
      </c>
      <c r="B185">
        <f t="shared" si="28"/>
        <v>9.0999999999999998E-2</v>
      </c>
      <c r="C185">
        <f t="shared" si="29"/>
        <v>16.614999999999998</v>
      </c>
      <c r="D185">
        <v>-0.82</v>
      </c>
      <c r="E185">
        <v>0.15</v>
      </c>
      <c r="F185">
        <v>-0.53</v>
      </c>
      <c r="G185">
        <f t="shared" si="30"/>
        <v>0</v>
      </c>
      <c r="H185">
        <f t="shared" si="31"/>
        <v>1.0000000000000009E-2</v>
      </c>
      <c r="I185">
        <f t="shared" si="32"/>
        <v>1.0000000000000009E-2</v>
      </c>
      <c r="J185">
        <f t="shared" si="24"/>
        <v>0</v>
      </c>
      <c r="K185">
        <f t="shared" si="25"/>
        <v>0</v>
      </c>
      <c r="L185">
        <f t="shared" si="26"/>
        <v>0</v>
      </c>
      <c r="M185">
        <f t="shared" si="33"/>
        <v>-6.1804545075000002E-2</v>
      </c>
      <c r="N185">
        <f t="shared" si="34"/>
        <v>0</v>
      </c>
      <c r="O185">
        <f t="shared" si="35"/>
        <v>-0.44111852009999991</v>
      </c>
      <c r="P185">
        <v>42.710000000000008</v>
      </c>
      <c r="R185">
        <v>16.614999999999998</v>
      </c>
      <c r="S185">
        <f t="shared" si="27"/>
        <v>44.111852009999993</v>
      </c>
    </row>
    <row r="186" spans="1:19" x14ac:dyDescent="0.3">
      <c r="A186">
        <v>11334892</v>
      </c>
      <c r="B186">
        <f t="shared" si="28"/>
        <v>0.09</v>
      </c>
      <c r="C186">
        <f t="shared" si="29"/>
        <v>16.704999999999998</v>
      </c>
      <c r="D186">
        <v>-0.82</v>
      </c>
      <c r="E186">
        <v>0.16</v>
      </c>
      <c r="F186">
        <v>-0.53</v>
      </c>
      <c r="G186">
        <f t="shared" si="30"/>
        <v>0</v>
      </c>
      <c r="H186">
        <f t="shared" si="31"/>
        <v>1.0000000000000009E-2</v>
      </c>
      <c r="I186">
        <f t="shared" si="32"/>
        <v>0</v>
      </c>
      <c r="J186">
        <f t="shared" si="24"/>
        <v>0</v>
      </c>
      <c r="K186">
        <f t="shared" si="25"/>
        <v>0</v>
      </c>
      <c r="L186">
        <f t="shared" si="26"/>
        <v>0</v>
      </c>
      <c r="M186">
        <f t="shared" si="33"/>
        <v>-6.1804545075000002E-2</v>
      </c>
      <c r="N186">
        <f t="shared" si="34"/>
        <v>0</v>
      </c>
      <c r="O186">
        <f t="shared" si="35"/>
        <v>-0.44111852009999991</v>
      </c>
      <c r="P186">
        <v>42.92</v>
      </c>
      <c r="R186">
        <v>16.704999999999998</v>
      </c>
      <c r="S186">
        <f t="shared" si="27"/>
        <v>44.111852009999993</v>
      </c>
    </row>
    <row r="187" spans="1:19" x14ac:dyDescent="0.3">
      <c r="A187">
        <v>11334983</v>
      </c>
      <c r="B187">
        <f t="shared" si="28"/>
        <v>9.0999999999999998E-2</v>
      </c>
      <c r="C187">
        <f t="shared" si="29"/>
        <v>16.795999999999999</v>
      </c>
      <c r="D187">
        <v>-0.81</v>
      </c>
      <c r="E187">
        <v>0.16</v>
      </c>
      <c r="F187">
        <v>-0.53</v>
      </c>
      <c r="G187">
        <f t="shared" si="30"/>
        <v>9.9999999999998979E-3</v>
      </c>
      <c r="H187">
        <f t="shared" si="31"/>
        <v>0</v>
      </c>
      <c r="I187">
        <f t="shared" si="32"/>
        <v>0</v>
      </c>
      <c r="J187">
        <f t="shared" si="24"/>
        <v>0</v>
      </c>
      <c r="K187">
        <f t="shared" si="25"/>
        <v>0</v>
      </c>
      <c r="L187">
        <f t="shared" si="26"/>
        <v>0</v>
      </c>
      <c r="M187">
        <f t="shared" si="33"/>
        <v>-6.1804545075000002E-2</v>
      </c>
      <c r="N187">
        <f t="shared" si="34"/>
        <v>0</v>
      </c>
      <c r="O187">
        <f t="shared" si="35"/>
        <v>-0.44111852009999991</v>
      </c>
      <c r="P187">
        <v>42.710000000000008</v>
      </c>
      <c r="R187">
        <v>16.795999999999999</v>
      </c>
      <c r="S187">
        <f t="shared" si="27"/>
        <v>44.111852009999993</v>
      </c>
    </row>
    <row r="188" spans="1:19" x14ac:dyDescent="0.3">
      <c r="A188">
        <v>11335074</v>
      </c>
      <c r="B188">
        <f t="shared" si="28"/>
        <v>9.0999999999999998E-2</v>
      </c>
      <c r="C188">
        <f t="shared" si="29"/>
        <v>16.887</v>
      </c>
      <c r="D188">
        <v>-0.82</v>
      </c>
      <c r="E188">
        <v>0.16</v>
      </c>
      <c r="F188">
        <v>-0.53</v>
      </c>
      <c r="G188">
        <f t="shared" si="30"/>
        <v>9.9999999999998979E-3</v>
      </c>
      <c r="H188">
        <f t="shared" si="31"/>
        <v>0</v>
      </c>
      <c r="I188">
        <f t="shared" si="32"/>
        <v>0</v>
      </c>
      <c r="J188">
        <f t="shared" si="24"/>
        <v>0</v>
      </c>
      <c r="K188">
        <f t="shared" si="25"/>
        <v>0</v>
      </c>
      <c r="L188">
        <f t="shared" si="26"/>
        <v>0</v>
      </c>
      <c r="M188">
        <f t="shared" si="33"/>
        <v>-6.1804545075000002E-2</v>
      </c>
      <c r="N188">
        <f t="shared" si="34"/>
        <v>0</v>
      </c>
      <c r="O188">
        <f t="shared" si="35"/>
        <v>-0.44111852009999991</v>
      </c>
      <c r="P188">
        <v>42.92</v>
      </c>
      <c r="R188">
        <v>16.887</v>
      </c>
      <c r="S188">
        <f t="shared" si="27"/>
        <v>44.111852009999993</v>
      </c>
    </row>
    <row r="189" spans="1:19" x14ac:dyDescent="0.3">
      <c r="A189">
        <v>11335164</v>
      </c>
      <c r="B189">
        <f t="shared" si="28"/>
        <v>0.09</v>
      </c>
      <c r="C189">
        <f t="shared" si="29"/>
        <v>16.977</v>
      </c>
      <c r="D189">
        <v>-0.82</v>
      </c>
      <c r="E189">
        <v>0.16</v>
      </c>
      <c r="F189">
        <v>-0.53</v>
      </c>
      <c r="G189">
        <f t="shared" si="30"/>
        <v>0</v>
      </c>
      <c r="H189">
        <f t="shared" si="31"/>
        <v>0</v>
      </c>
      <c r="I189">
        <f t="shared" si="32"/>
        <v>0</v>
      </c>
      <c r="J189">
        <f t="shared" si="24"/>
        <v>0</v>
      </c>
      <c r="K189">
        <f t="shared" si="25"/>
        <v>0</v>
      </c>
      <c r="L189">
        <f t="shared" si="26"/>
        <v>0</v>
      </c>
      <c r="M189">
        <f t="shared" si="33"/>
        <v>-6.1804545075000002E-2</v>
      </c>
      <c r="N189">
        <f t="shared" si="34"/>
        <v>0</v>
      </c>
      <c r="O189">
        <f t="shared" si="35"/>
        <v>-0.44111852009999991</v>
      </c>
      <c r="P189">
        <v>42.92</v>
      </c>
      <c r="R189">
        <v>16.977</v>
      </c>
      <c r="S189">
        <f t="shared" si="27"/>
        <v>44.111852009999993</v>
      </c>
    </row>
    <row r="190" spans="1:19" x14ac:dyDescent="0.3">
      <c r="A190">
        <v>11335256</v>
      </c>
      <c r="B190">
        <f t="shared" si="28"/>
        <v>9.1999999999999998E-2</v>
      </c>
      <c r="C190">
        <f t="shared" si="29"/>
        <v>17.068999999999999</v>
      </c>
      <c r="D190">
        <v>-0.82</v>
      </c>
      <c r="E190">
        <v>0.16</v>
      </c>
      <c r="F190">
        <v>-0.53</v>
      </c>
      <c r="G190">
        <f t="shared" si="30"/>
        <v>0</v>
      </c>
      <c r="H190">
        <f t="shared" si="31"/>
        <v>0</v>
      </c>
      <c r="I190">
        <f t="shared" si="32"/>
        <v>0</v>
      </c>
      <c r="J190">
        <f t="shared" si="24"/>
        <v>0</v>
      </c>
      <c r="K190">
        <f t="shared" si="25"/>
        <v>0</v>
      </c>
      <c r="L190">
        <f t="shared" si="26"/>
        <v>0</v>
      </c>
      <c r="M190">
        <f t="shared" si="33"/>
        <v>-6.1804545075000002E-2</v>
      </c>
      <c r="N190">
        <f t="shared" si="34"/>
        <v>0</v>
      </c>
      <c r="O190">
        <f t="shared" si="35"/>
        <v>-0.44111852009999991</v>
      </c>
      <c r="P190">
        <v>42.92</v>
      </c>
      <c r="R190">
        <v>17.068999999999999</v>
      </c>
      <c r="S190">
        <f t="shared" si="27"/>
        <v>44.111852009999993</v>
      </c>
    </row>
    <row r="191" spans="1:19" x14ac:dyDescent="0.3">
      <c r="A191">
        <v>11335347</v>
      </c>
      <c r="B191">
        <f t="shared" si="28"/>
        <v>9.0999999999999998E-2</v>
      </c>
      <c r="C191">
        <f t="shared" si="29"/>
        <v>17.16</v>
      </c>
      <c r="D191">
        <v>-0.81</v>
      </c>
      <c r="E191">
        <v>0.16</v>
      </c>
      <c r="F191">
        <v>-0.53</v>
      </c>
      <c r="G191">
        <f t="shared" si="30"/>
        <v>9.9999999999998979E-3</v>
      </c>
      <c r="H191">
        <f t="shared" si="31"/>
        <v>0</v>
      </c>
      <c r="I191">
        <f t="shared" si="32"/>
        <v>0</v>
      </c>
      <c r="J191">
        <f t="shared" si="24"/>
        <v>0</v>
      </c>
      <c r="K191">
        <f t="shared" si="25"/>
        <v>0</v>
      </c>
      <c r="L191">
        <f t="shared" si="26"/>
        <v>0</v>
      </c>
      <c r="M191">
        <f t="shared" si="33"/>
        <v>-6.1804545075000002E-2</v>
      </c>
      <c r="N191">
        <f t="shared" si="34"/>
        <v>0</v>
      </c>
      <c r="O191">
        <f t="shared" si="35"/>
        <v>-0.44111852009999991</v>
      </c>
      <c r="P191">
        <v>43.120000000000005</v>
      </c>
      <c r="R191">
        <v>17.16</v>
      </c>
      <c r="S191">
        <f t="shared" si="27"/>
        <v>44.111852009999993</v>
      </c>
    </row>
    <row r="192" spans="1:19" x14ac:dyDescent="0.3">
      <c r="A192">
        <v>11335437</v>
      </c>
      <c r="B192">
        <f t="shared" si="28"/>
        <v>0.09</v>
      </c>
      <c r="C192">
        <f t="shared" si="29"/>
        <v>17.25</v>
      </c>
      <c r="D192">
        <v>-0.81</v>
      </c>
      <c r="E192">
        <v>0.15</v>
      </c>
      <c r="F192">
        <v>-0.53</v>
      </c>
      <c r="G192">
        <f t="shared" si="30"/>
        <v>0</v>
      </c>
      <c r="H192">
        <f t="shared" si="31"/>
        <v>1.0000000000000009E-2</v>
      </c>
      <c r="I192">
        <f t="shared" si="32"/>
        <v>0</v>
      </c>
      <c r="J192">
        <f t="shared" si="24"/>
        <v>0</v>
      </c>
      <c r="K192">
        <f t="shared" si="25"/>
        <v>0</v>
      </c>
      <c r="L192">
        <f t="shared" si="26"/>
        <v>0</v>
      </c>
      <c r="M192">
        <f t="shared" si="33"/>
        <v>-6.1804545075000002E-2</v>
      </c>
      <c r="N192">
        <f t="shared" si="34"/>
        <v>0</v>
      </c>
      <c r="O192">
        <f t="shared" si="35"/>
        <v>-0.44111852009999991</v>
      </c>
      <c r="P192">
        <v>42.92</v>
      </c>
      <c r="R192">
        <v>17.25</v>
      </c>
      <c r="S192">
        <f t="shared" si="27"/>
        <v>44.111852009999993</v>
      </c>
    </row>
    <row r="193" spans="1:19" x14ac:dyDescent="0.3">
      <c r="A193">
        <v>11335528</v>
      </c>
      <c r="B193">
        <f t="shared" si="28"/>
        <v>9.0999999999999998E-2</v>
      </c>
      <c r="C193">
        <f t="shared" si="29"/>
        <v>17.341000000000001</v>
      </c>
      <c r="D193">
        <v>-0.82</v>
      </c>
      <c r="E193">
        <v>0.16</v>
      </c>
      <c r="F193">
        <v>-0.52</v>
      </c>
      <c r="G193">
        <f t="shared" si="30"/>
        <v>9.9999999999998979E-3</v>
      </c>
      <c r="H193">
        <f t="shared" si="31"/>
        <v>1.0000000000000009E-2</v>
      </c>
      <c r="I193">
        <f t="shared" si="32"/>
        <v>1.0000000000000009E-2</v>
      </c>
      <c r="J193">
        <f t="shared" si="24"/>
        <v>0</v>
      </c>
      <c r="K193">
        <f t="shared" si="25"/>
        <v>0</v>
      </c>
      <c r="L193">
        <f t="shared" si="26"/>
        <v>0</v>
      </c>
      <c r="M193">
        <f t="shared" si="33"/>
        <v>-6.1804545075000002E-2</v>
      </c>
      <c r="N193">
        <f t="shared" si="34"/>
        <v>0</v>
      </c>
      <c r="O193">
        <f t="shared" si="35"/>
        <v>-0.44111852009999991</v>
      </c>
      <c r="P193">
        <v>43.33</v>
      </c>
      <c r="R193">
        <v>17.341000000000001</v>
      </c>
      <c r="S193">
        <f t="shared" si="27"/>
        <v>44.111852009999993</v>
      </c>
    </row>
    <row r="194" spans="1:19" x14ac:dyDescent="0.3">
      <c r="A194">
        <v>11335619</v>
      </c>
      <c r="B194">
        <f t="shared" si="28"/>
        <v>9.0999999999999998E-2</v>
      </c>
      <c r="C194">
        <f t="shared" si="29"/>
        <v>17.431999999999999</v>
      </c>
      <c r="D194">
        <v>-0.82</v>
      </c>
      <c r="E194">
        <v>0.16</v>
      </c>
      <c r="F194">
        <v>-0.53</v>
      </c>
      <c r="G194">
        <f t="shared" si="30"/>
        <v>0</v>
      </c>
      <c r="H194">
        <f t="shared" si="31"/>
        <v>0</v>
      </c>
      <c r="I194">
        <f t="shared" si="32"/>
        <v>1.0000000000000009E-2</v>
      </c>
      <c r="J194">
        <f t="shared" si="24"/>
        <v>0</v>
      </c>
      <c r="K194">
        <f t="shared" si="25"/>
        <v>0</v>
      </c>
      <c r="L194">
        <f t="shared" si="26"/>
        <v>0</v>
      </c>
      <c r="M194">
        <f t="shared" si="33"/>
        <v>-6.1804545075000002E-2</v>
      </c>
      <c r="N194">
        <f t="shared" si="34"/>
        <v>0</v>
      </c>
      <c r="O194">
        <f t="shared" si="35"/>
        <v>-0.44111852009999991</v>
      </c>
      <c r="P194">
        <v>42.92</v>
      </c>
      <c r="R194">
        <v>17.431999999999999</v>
      </c>
      <c r="S194">
        <f t="shared" si="27"/>
        <v>44.111852009999993</v>
      </c>
    </row>
    <row r="195" spans="1:19" x14ac:dyDescent="0.3">
      <c r="A195">
        <v>11335709</v>
      </c>
      <c r="B195">
        <f t="shared" si="28"/>
        <v>0.09</v>
      </c>
      <c r="C195">
        <f t="shared" si="29"/>
        <v>17.521999999999998</v>
      </c>
      <c r="D195">
        <v>-0.82</v>
      </c>
      <c r="E195">
        <v>0.16</v>
      </c>
      <c r="F195">
        <v>-0.53</v>
      </c>
      <c r="G195">
        <f t="shared" si="30"/>
        <v>0</v>
      </c>
      <c r="H195">
        <f t="shared" si="31"/>
        <v>0</v>
      </c>
      <c r="I195">
        <f t="shared" si="32"/>
        <v>0</v>
      </c>
      <c r="J195">
        <f t="shared" ref="J195:J258" si="36">IF(ABS(D195-D194) &gt; $Q$2, 1/2*(D195+D194)*9.81*B195 + J194, 0)</f>
        <v>0</v>
      </c>
      <c r="K195">
        <f t="shared" ref="K195:K258" si="37">IF(ABS(E195-E194) &gt; $Q$2, 1/2*(E195+E194)*9.81*B195 + K194, 0)</f>
        <v>0</v>
      </c>
      <c r="L195">
        <f t="shared" ref="L195:L258" si="38">IF(ABS(F195-F194) &gt; $Q$2, 1/2*(F195+F194)*9.81*B195 + L194, 0)</f>
        <v>0</v>
      </c>
      <c r="M195">
        <f t="shared" si="33"/>
        <v>-6.1804545075000002E-2</v>
      </c>
      <c r="N195">
        <f t="shared" si="34"/>
        <v>0</v>
      </c>
      <c r="O195">
        <f t="shared" si="35"/>
        <v>-0.44111852009999991</v>
      </c>
      <c r="P195">
        <v>43.120000000000005</v>
      </c>
      <c r="R195">
        <v>17.521999999999998</v>
      </c>
      <c r="S195">
        <f t="shared" ref="S195:S258" si="39">SQRT(O195*O195)*100</f>
        <v>44.111852009999993</v>
      </c>
    </row>
    <row r="196" spans="1:19" x14ac:dyDescent="0.3">
      <c r="A196">
        <v>11335800</v>
      </c>
      <c r="B196">
        <f t="shared" ref="B196:B259" si="40">(A196-A195)/1000</f>
        <v>9.0999999999999998E-2</v>
      </c>
      <c r="C196">
        <f t="shared" ref="C196:C259" si="41">(A196-$A$2)/1000</f>
        <v>17.613</v>
      </c>
      <c r="D196">
        <v>-0.82</v>
      </c>
      <c r="E196">
        <v>0.16</v>
      </c>
      <c r="F196">
        <v>-0.53</v>
      </c>
      <c r="G196">
        <f t="shared" ref="G196:G259" si="42">ABS(D196-D195)</f>
        <v>0</v>
      </c>
      <c r="H196">
        <f t="shared" ref="H196:H259" si="43">ABS(E196-E195)</f>
        <v>0</v>
      </c>
      <c r="I196">
        <f t="shared" ref="I196:I259" si="44">ABS(F196-F195)</f>
        <v>0</v>
      </c>
      <c r="J196">
        <f t="shared" si="36"/>
        <v>0</v>
      </c>
      <c r="K196">
        <f t="shared" si="37"/>
        <v>0</v>
      </c>
      <c r="L196">
        <f t="shared" si="38"/>
        <v>0</v>
      </c>
      <c r="M196">
        <f t="shared" ref="M196:M259" si="45">1/2*(J196+J195)*B196 + M195</f>
        <v>-6.1804545075000002E-2</v>
      </c>
      <c r="N196">
        <f t="shared" ref="N196:N259" si="46">1/2*(K196+K195)*B196 + N195</f>
        <v>0</v>
      </c>
      <c r="O196">
        <f t="shared" ref="O196:O259" si="47">1/2*(L196+L195)*B196 + O195</f>
        <v>-0.44111852009999991</v>
      </c>
      <c r="P196">
        <v>43.120000000000005</v>
      </c>
      <c r="R196">
        <v>17.613</v>
      </c>
      <c r="S196">
        <f t="shared" si="39"/>
        <v>44.111852009999993</v>
      </c>
    </row>
    <row r="197" spans="1:19" x14ac:dyDescent="0.3">
      <c r="A197">
        <v>11335891</v>
      </c>
      <c r="B197">
        <f t="shared" si="40"/>
        <v>9.0999999999999998E-2</v>
      </c>
      <c r="C197">
        <f t="shared" si="41"/>
        <v>17.704000000000001</v>
      </c>
      <c r="D197">
        <v>-0.82</v>
      </c>
      <c r="E197">
        <v>0.16</v>
      </c>
      <c r="F197">
        <v>-0.54</v>
      </c>
      <c r="G197">
        <f t="shared" si="42"/>
        <v>0</v>
      </c>
      <c r="H197">
        <f t="shared" si="43"/>
        <v>0</v>
      </c>
      <c r="I197">
        <f t="shared" si="44"/>
        <v>1.0000000000000009E-2</v>
      </c>
      <c r="J197">
        <f t="shared" si="36"/>
        <v>0</v>
      </c>
      <c r="K197">
        <f t="shared" si="37"/>
        <v>0</v>
      </c>
      <c r="L197">
        <f t="shared" si="38"/>
        <v>0</v>
      </c>
      <c r="M197">
        <f t="shared" si="45"/>
        <v>-6.1804545075000002E-2</v>
      </c>
      <c r="N197">
        <f t="shared" si="46"/>
        <v>0</v>
      </c>
      <c r="O197">
        <f t="shared" si="47"/>
        <v>-0.44111852009999991</v>
      </c>
      <c r="P197">
        <v>42.5</v>
      </c>
      <c r="R197">
        <v>17.704000000000001</v>
      </c>
      <c r="S197">
        <f t="shared" si="39"/>
        <v>44.111852009999993</v>
      </c>
    </row>
    <row r="198" spans="1:19" x14ac:dyDescent="0.3">
      <c r="A198">
        <v>11335982</v>
      </c>
      <c r="B198">
        <f t="shared" si="40"/>
        <v>9.0999999999999998E-2</v>
      </c>
      <c r="C198">
        <f t="shared" si="41"/>
        <v>17.795000000000002</v>
      </c>
      <c r="D198">
        <v>-0.82</v>
      </c>
      <c r="E198">
        <v>0.16</v>
      </c>
      <c r="F198">
        <v>-0.53</v>
      </c>
      <c r="G198">
        <f t="shared" si="42"/>
        <v>0</v>
      </c>
      <c r="H198">
        <f t="shared" si="43"/>
        <v>0</v>
      </c>
      <c r="I198">
        <f t="shared" si="44"/>
        <v>1.0000000000000009E-2</v>
      </c>
      <c r="J198">
        <f t="shared" si="36"/>
        <v>0</v>
      </c>
      <c r="K198">
        <f t="shared" si="37"/>
        <v>0</v>
      </c>
      <c r="L198">
        <f t="shared" si="38"/>
        <v>0</v>
      </c>
      <c r="M198">
        <f t="shared" si="45"/>
        <v>-6.1804545075000002E-2</v>
      </c>
      <c r="N198">
        <f t="shared" si="46"/>
        <v>0</v>
      </c>
      <c r="O198">
        <f t="shared" si="47"/>
        <v>-0.44111852009999991</v>
      </c>
      <c r="P198">
        <v>43.120000000000005</v>
      </c>
      <c r="R198">
        <v>17.795000000000002</v>
      </c>
      <c r="S198">
        <f t="shared" si="39"/>
        <v>44.111852009999993</v>
      </c>
    </row>
    <row r="199" spans="1:19" x14ac:dyDescent="0.3">
      <c r="A199">
        <v>11336073</v>
      </c>
      <c r="B199">
        <f t="shared" si="40"/>
        <v>9.0999999999999998E-2</v>
      </c>
      <c r="C199">
        <f t="shared" si="41"/>
        <v>17.885999999999999</v>
      </c>
      <c r="D199">
        <v>-0.81</v>
      </c>
      <c r="E199">
        <v>0.16</v>
      </c>
      <c r="F199">
        <v>-0.52</v>
      </c>
      <c r="G199">
        <f t="shared" si="42"/>
        <v>9.9999999999998979E-3</v>
      </c>
      <c r="H199">
        <f t="shared" si="43"/>
        <v>0</v>
      </c>
      <c r="I199">
        <f t="shared" si="44"/>
        <v>1.0000000000000009E-2</v>
      </c>
      <c r="J199">
        <f t="shared" si="36"/>
        <v>0</v>
      </c>
      <c r="K199">
        <f t="shared" si="37"/>
        <v>0</v>
      </c>
      <c r="L199">
        <f t="shared" si="38"/>
        <v>0</v>
      </c>
      <c r="M199">
        <f t="shared" si="45"/>
        <v>-6.1804545075000002E-2</v>
      </c>
      <c r="N199">
        <f t="shared" si="46"/>
        <v>0</v>
      </c>
      <c r="O199">
        <f t="shared" si="47"/>
        <v>-0.44111852009999991</v>
      </c>
      <c r="P199">
        <v>42.92</v>
      </c>
      <c r="R199">
        <v>17.885999999999999</v>
      </c>
      <c r="S199">
        <f t="shared" si="39"/>
        <v>44.111852009999993</v>
      </c>
    </row>
    <row r="200" spans="1:19" x14ac:dyDescent="0.3">
      <c r="A200">
        <v>11336164</v>
      </c>
      <c r="B200">
        <f t="shared" si="40"/>
        <v>9.0999999999999998E-2</v>
      </c>
      <c r="C200">
        <f t="shared" si="41"/>
        <v>17.977</v>
      </c>
      <c r="D200">
        <v>-0.81</v>
      </c>
      <c r="E200">
        <v>0.16</v>
      </c>
      <c r="F200">
        <v>-0.53</v>
      </c>
      <c r="G200">
        <f t="shared" si="42"/>
        <v>0</v>
      </c>
      <c r="H200">
        <f t="shared" si="43"/>
        <v>0</v>
      </c>
      <c r="I200">
        <f t="shared" si="44"/>
        <v>1.0000000000000009E-2</v>
      </c>
      <c r="J200">
        <f t="shared" si="36"/>
        <v>0</v>
      </c>
      <c r="K200">
        <f t="shared" si="37"/>
        <v>0</v>
      </c>
      <c r="L200">
        <f t="shared" si="38"/>
        <v>0</v>
      </c>
      <c r="M200">
        <f t="shared" si="45"/>
        <v>-6.1804545075000002E-2</v>
      </c>
      <c r="N200">
        <f t="shared" si="46"/>
        <v>0</v>
      </c>
      <c r="O200">
        <f t="shared" si="47"/>
        <v>-0.44111852009999991</v>
      </c>
      <c r="P200">
        <v>42.92</v>
      </c>
      <c r="R200">
        <v>17.977</v>
      </c>
      <c r="S200">
        <f t="shared" si="39"/>
        <v>44.111852009999993</v>
      </c>
    </row>
    <row r="201" spans="1:19" x14ac:dyDescent="0.3">
      <c r="A201">
        <v>11336254</v>
      </c>
      <c r="B201">
        <f t="shared" si="40"/>
        <v>0.09</v>
      </c>
      <c r="C201">
        <f t="shared" si="41"/>
        <v>18.067</v>
      </c>
      <c r="D201">
        <v>-0.82</v>
      </c>
      <c r="E201">
        <v>0.16</v>
      </c>
      <c r="F201">
        <v>-0.53</v>
      </c>
      <c r="G201">
        <f t="shared" si="42"/>
        <v>9.9999999999998979E-3</v>
      </c>
      <c r="H201">
        <f t="shared" si="43"/>
        <v>0</v>
      </c>
      <c r="I201">
        <f t="shared" si="44"/>
        <v>0</v>
      </c>
      <c r="J201">
        <f t="shared" si="36"/>
        <v>0</v>
      </c>
      <c r="K201">
        <f t="shared" si="37"/>
        <v>0</v>
      </c>
      <c r="L201">
        <f t="shared" si="38"/>
        <v>0</v>
      </c>
      <c r="M201">
        <f t="shared" si="45"/>
        <v>-6.1804545075000002E-2</v>
      </c>
      <c r="N201">
        <f t="shared" si="46"/>
        <v>0</v>
      </c>
      <c r="O201">
        <f t="shared" si="47"/>
        <v>-0.44111852009999991</v>
      </c>
      <c r="P201">
        <v>43.120000000000005</v>
      </c>
      <c r="R201">
        <v>18.067</v>
      </c>
      <c r="S201">
        <f t="shared" si="39"/>
        <v>44.111852009999993</v>
      </c>
    </row>
    <row r="202" spans="1:19" x14ac:dyDescent="0.3">
      <c r="A202">
        <v>11336345</v>
      </c>
      <c r="B202">
        <f t="shared" si="40"/>
        <v>9.0999999999999998E-2</v>
      </c>
      <c r="C202">
        <f t="shared" si="41"/>
        <v>18.158000000000001</v>
      </c>
      <c r="D202">
        <v>-0.82</v>
      </c>
      <c r="E202">
        <v>0.16</v>
      </c>
      <c r="F202">
        <v>-0.53</v>
      </c>
      <c r="G202">
        <f t="shared" si="42"/>
        <v>0</v>
      </c>
      <c r="H202">
        <f t="shared" si="43"/>
        <v>0</v>
      </c>
      <c r="I202">
        <f t="shared" si="44"/>
        <v>0</v>
      </c>
      <c r="J202">
        <f t="shared" si="36"/>
        <v>0</v>
      </c>
      <c r="K202">
        <f t="shared" si="37"/>
        <v>0</v>
      </c>
      <c r="L202">
        <f t="shared" si="38"/>
        <v>0</v>
      </c>
      <c r="M202">
        <f t="shared" si="45"/>
        <v>-6.1804545075000002E-2</v>
      </c>
      <c r="N202">
        <f t="shared" si="46"/>
        <v>0</v>
      </c>
      <c r="O202">
        <f t="shared" si="47"/>
        <v>-0.44111852009999991</v>
      </c>
      <c r="P202">
        <v>43.120000000000005</v>
      </c>
      <c r="R202">
        <v>18.158000000000001</v>
      </c>
      <c r="S202">
        <f t="shared" si="39"/>
        <v>44.111852009999993</v>
      </c>
    </row>
    <row r="203" spans="1:19" x14ac:dyDescent="0.3">
      <c r="A203">
        <v>11336436</v>
      </c>
      <c r="B203">
        <f t="shared" si="40"/>
        <v>9.0999999999999998E-2</v>
      </c>
      <c r="C203">
        <f t="shared" si="41"/>
        <v>18.248999999999999</v>
      </c>
      <c r="D203">
        <v>-0.82</v>
      </c>
      <c r="E203">
        <v>0.16</v>
      </c>
      <c r="F203">
        <v>-0.52</v>
      </c>
      <c r="G203">
        <f t="shared" si="42"/>
        <v>0</v>
      </c>
      <c r="H203">
        <f t="shared" si="43"/>
        <v>0</v>
      </c>
      <c r="I203">
        <f t="shared" si="44"/>
        <v>1.0000000000000009E-2</v>
      </c>
      <c r="J203">
        <f t="shared" si="36"/>
        <v>0</v>
      </c>
      <c r="K203">
        <f t="shared" si="37"/>
        <v>0</v>
      </c>
      <c r="L203">
        <f t="shared" si="38"/>
        <v>0</v>
      </c>
      <c r="M203">
        <f t="shared" si="45"/>
        <v>-6.1804545075000002E-2</v>
      </c>
      <c r="N203">
        <f t="shared" si="46"/>
        <v>0</v>
      </c>
      <c r="O203">
        <f t="shared" si="47"/>
        <v>-0.44111852009999991</v>
      </c>
      <c r="P203">
        <v>43.120000000000005</v>
      </c>
      <c r="R203">
        <v>18.248999999999999</v>
      </c>
      <c r="S203">
        <f t="shared" si="39"/>
        <v>44.111852009999993</v>
      </c>
    </row>
    <row r="204" spans="1:19" x14ac:dyDescent="0.3">
      <c r="A204">
        <v>11336526</v>
      </c>
      <c r="B204">
        <f t="shared" si="40"/>
        <v>0.09</v>
      </c>
      <c r="C204">
        <f t="shared" si="41"/>
        <v>18.338999999999999</v>
      </c>
      <c r="D204">
        <v>-0.82</v>
      </c>
      <c r="E204">
        <v>0.15</v>
      </c>
      <c r="F204">
        <v>-0.53</v>
      </c>
      <c r="G204">
        <f t="shared" si="42"/>
        <v>0</v>
      </c>
      <c r="H204">
        <f t="shared" si="43"/>
        <v>1.0000000000000009E-2</v>
      </c>
      <c r="I204">
        <f t="shared" si="44"/>
        <v>1.0000000000000009E-2</v>
      </c>
      <c r="J204">
        <f t="shared" si="36"/>
        <v>0</v>
      </c>
      <c r="K204">
        <f t="shared" si="37"/>
        <v>0</v>
      </c>
      <c r="L204">
        <f t="shared" si="38"/>
        <v>0</v>
      </c>
      <c r="M204">
        <f t="shared" si="45"/>
        <v>-6.1804545075000002E-2</v>
      </c>
      <c r="N204">
        <f t="shared" si="46"/>
        <v>0</v>
      </c>
      <c r="O204">
        <f t="shared" si="47"/>
        <v>-0.44111852009999991</v>
      </c>
      <c r="P204">
        <v>42.92</v>
      </c>
      <c r="R204">
        <v>18.338999999999999</v>
      </c>
      <c r="S204">
        <f t="shared" si="39"/>
        <v>44.111852009999993</v>
      </c>
    </row>
    <row r="205" spans="1:19" x14ac:dyDescent="0.3">
      <c r="A205">
        <v>11336617</v>
      </c>
      <c r="B205">
        <f t="shared" si="40"/>
        <v>9.0999999999999998E-2</v>
      </c>
      <c r="C205">
        <f t="shared" si="41"/>
        <v>18.43</v>
      </c>
      <c r="D205">
        <v>-0.82</v>
      </c>
      <c r="E205">
        <v>0.15</v>
      </c>
      <c r="F205">
        <v>-0.53</v>
      </c>
      <c r="G205">
        <f t="shared" si="42"/>
        <v>0</v>
      </c>
      <c r="H205">
        <f t="shared" si="43"/>
        <v>0</v>
      </c>
      <c r="I205">
        <f t="shared" si="44"/>
        <v>0</v>
      </c>
      <c r="J205">
        <f t="shared" si="36"/>
        <v>0</v>
      </c>
      <c r="K205">
        <f t="shared" si="37"/>
        <v>0</v>
      </c>
      <c r="L205">
        <f t="shared" si="38"/>
        <v>0</v>
      </c>
      <c r="M205">
        <f t="shared" si="45"/>
        <v>-6.1804545075000002E-2</v>
      </c>
      <c r="N205">
        <f t="shared" si="46"/>
        <v>0</v>
      </c>
      <c r="O205">
        <f t="shared" si="47"/>
        <v>-0.44111852009999991</v>
      </c>
      <c r="P205">
        <v>43.33</v>
      </c>
      <c r="R205">
        <v>18.43</v>
      </c>
      <c r="S205">
        <f t="shared" si="39"/>
        <v>44.111852009999993</v>
      </c>
    </row>
    <row r="206" spans="1:19" x14ac:dyDescent="0.3">
      <c r="A206">
        <v>11336709</v>
      </c>
      <c r="B206">
        <f t="shared" si="40"/>
        <v>9.1999999999999998E-2</v>
      </c>
      <c r="C206">
        <f t="shared" si="41"/>
        <v>18.521999999999998</v>
      </c>
      <c r="D206">
        <v>-0.82</v>
      </c>
      <c r="E206">
        <v>0.16</v>
      </c>
      <c r="F206">
        <v>-0.53</v>
      </c>
      <c r="G206">
        <f t="shared" si="42"/>
        <v>0</v>
      </c>
      <c r="H206">
        <f t="shared" si="43"/>
        <v>1.0000000000000009E-2</v>
      </c>
      <c r="I206">
        <f t="shared" si="44"/>
        <v>0</v>
      </c>
      <c r="J206">
        <f t="shared" si="36"/>
        <v>0</v>
      </c>
      <c r="K206">
        <f t="shared" si="37"/>
        <v>0</v>
      </c>
      <c r="L206">
        <f t="shared" si="38"/>
        <v>0</v>
      </c>
      <c r="M206">
        <f t="shared" si="45"/>
        <v>-6.1804545075000002E-2</v>
      </c>
      <c r="N206">
        <f t="shared" si="46"/>
        <v>0</v>
      </c>
      <c r="O206">
        <f t="shared" si="47"/>
        <v>-0.44111852009999991</v>
      </c>
      <c r="P206">
        <v>42.92</v>
      </c>
      <c r="R206">
        <v>18.521999999999998</v>
      </c>
      <c r="S206">
        <f t="shared" si="39"/>
        <v>44.111852009999993</v>
      </c>
    </row>
    <row r="207" spans="1:19" x14ac:dyDescent="0.3">
      <c r="A207">
        <v>11336799</v>
      </c>
      <c r="B207">
        <f t="shared" si="40"/>
        <v>0.09</v>
      </c>
      <c r="C207">
        <f t="shared" si="41"/>
        <v>18.611999999999998</v>
      </c>
      <c r="D207">
        <v>-0.82</v>
      </c>
      <c r="E207">
        <v>0.16</v>
      </c>
      <c r="F207">
        <v>-0.53</v>
      </c>
      <c r="G207">
        <f t="shared" si="42"/>
        <v>0</v>
      </c>
      <c r="H207">
        <f t="shared" si="43"/>
        <v>0</v>
      </c>
      <c r="I207">
        <f t="shared" si="44"/>
        <v>0</v>
      </c>
      <c r="J207">
        <f t="shared" si="36"/>
        <v>0</v>
      </c>
      <c r="K207">
        <f t="shared" si="37"/>
        <v>0</v>
      </c>
      <c r="L207">
        <f t="shared" si="38"/>
        <v>0</v>
      </c>
      <c r="M207">
        <f t="shared" si="45"/>
        <v>-6.1804545075000002E-2</v>
      </c>
      <c r="N207">
        <f t="shared" si="46"/>
        <v>0</v>
      </c>
      <c r="O207">
        <f t="shared" si="47"/>
        <v>-0.44111852009999991</v>
      </c>
      <c r="P207">
        <v>43.120000000000005</v>
      </c>
      <c r="R207">
        <v>18.611999999999998</v>
      </c>
      <c r="S207">
        <f t="shared" si="39"/>
        <v>44.111852009999993</v>
      </c>
    </row>
    <row r="208" spans="1:19" x14ac:dyDescent="0.3">
      <c r="A208">
        <v>11336890</v>
      </c>
      <c r="B208">
        <f t="shared" si="40"/>
        <v>9.0999999999999998E-2</v>
      </c>
      <c r="C208">
        <f t="shared" si="41"/>
        <v>18.702999999999999</v>
      </c>
      <c r="D208">
        <v>-0.82</v>
      </c>
      <c r="E208">
        <v>0.16</v>
      </c>
      <c r="F208">
        <v>-0.52</v>
      </c>
      <c r="G208">
        <f t="shared" si="42"/>
        <v>0</v>
      </c>
      <c r="H208">
        <f t="shared" si="43"/>
        <v>0</v>
      </c>
      <c r="I208">
        <f t="shared" si="44"/>
        <v>1.0000000000000009E-2</v>
      </c>
      <c r="J208">
        <f t="shared" si="36"/>
        <v>0</v>
      </c>
      <c r="K208">
        <f t="shared" si="37"/>
        <v>0</v>
      </c>
      <c r="L208">
        <f t="shared" si="38"/>
        <v>0</v>
      </c>
      <c r="M208">
        <f t="shared" si="45"/>
        <v>-6.1804545075000002E-2</v>
      </c>
      <c r="N208">
        <f t="shared" si="46"/>
        <v>0</v>
      </c>
      <c r="O208">
        <f t="shared" si="47"/>
        <v>-0.44111852009999991</v>
      </c>
      <c r="P208">
        <v>43.33</v>
      </c>
      <c r="R208">
        <v>18.702999999999999</v>
      </c>
      <c r="S208">
        <f t="shared" si="39"/>
        <v>44.111852009999993</v>
      </c>
    </row>
    <row r="209" spans="1:19" x14ac:dyDescent="0.3">
      <c r="A209">
        <v>11336981</v>
      </c>
      <c r="B209">
        <f t="shared" si="40"/>
        <v>9.0999999999999998E-2</v>
      </c>
      <c r="C209">
        <f t="shared" si="41"/>
        <v>18.794</v>
      </c>
      <c r="D209">
        <v>-0.82</v>
      </c>
      <c r="E209">
        <v>0.16</v>
      </c>
      <c r="F209">
        <v>-0.53</v>
      </c>
      <c r="G209">
        <f t="shared" si="42"/>
        <v>0</v>
      </c>
      <c r="H209">
        <f t="shared" si="43"/>
        <v>0</v>
      </c>
      <c r="I209">
        <f t="shared" si="44"/>
        <v>1.0000000000000009E-2</v>
      </c>
      <c r="J209">
        <f t="shared" si="36"/>
        <v>0</v>
      </c>
      <c r="K209">
        <f t="shared" si="37"/>
        <v>0</v>
      </c>
      <c r="L209">
        <f t="shared" si="38"/>
        <v>0</v>
      </c>
      <c r="M209">
        <f t="shared" si="45"/>
        <v>-6.1804545075000002E-2</v>
      </c>
      <c r="N209">
        <f t="shared" si="46"/>
        <v>0</v>
      </c>
      <c r="O209">
        <f t="shared" si="47"/>
        <v>-0.44111852009999991</v>
      </c>
      <c r="P209">
        <v>44.17</v>
      </c>
      <c r="R209">
        <v>18.794</v>
      </c>
      <c r="S209">
        <f t="shared" si="39"/>
        <v>44.111852009999993</v>
      </c>
    </row>
    <row r="210" spans="1:19" x14ac:dyDescent="0.3">
      <c r="A210">
        <v>11337071</v>
      </c>
      <c r="B210">
        <f t="shared" si="40"/>
        <v>0.09</v>
      </c>
      <c r="C210">
        <f t="shared" si="41"/>
        <v>18.884</v>
      </c>
      <c r="D210">
        <v>-0.82</v>
      </c>
      <c r="E210">
        <v>0.16</v>
      </c>
      <c r="F210">
        <v>-0.53</v>
      </c>
      <c r="G210">
        <f t="shared" si="42"/>
        <v>0</v>
      </c>
      <c r="H210">
        <f t="shared" si="43"/>
        <v>0</v>
      </c>
      <c r="I210">
        <f t="shared" si="44"/>
        <v>0</v>
      </c>
      <c r="J210">
        <f t="shared" si="36"/>
        <v>0</v>
      </c>
      <c r="K210">
        <f t="shared" si="37"/>
        <v>0</v>
      </c>
      <c r="L210">
        <f t="shared" si="38"/>
        <v>0</v>
      </c>
      <c r="M210">
        <f t="shared" si="45"/>
        <v>-6.1804545075000002E-2</v>
      </c>
      <c r="N210">
        <f t="shared" si="46"/>
        <v>0</v>
      </c>
      <c r="O210">
        <f t="shared" si="47"/>
        <v>-0.44111852009999991</v>
      </c>
      <c r="P210">
        <v>42.92</v>
      </c>
      <c r="R210">
        <v>18.884</v>
      </c>
      <c r="S210">
        <f t="shared" si="39"/>
        <v>44.111852009999993</v>
      </c>
    </row>
    <row r="211" spans="1:19" x14ac:dyDescent="0.3">
      <c r="A211">
        <v>11337162</v>
      </c>
      <c r="B211">
        <f t="shared" si="40"/>
        <v>9.0999999999999998E-2</v>
      </c>
      <c r="C211">
        <f t="shared" si="41"/>
        <v>18.975000000000001</v>
      </c>
      <c r="D211">
        <v>-0.82</v>
      </c>
      <c r="E211">
        <v>0.16</v>
      </c>
      <c r="F211">
        <v>-0.53</v>
      </c>
      <c r="G211">
        <f t="shared" si="42"/>
        <v>0</v>
      </c>
      <c r="H211">
        <f t="shared" si="43"/>
        <v>0</v>
      </c>
      <c r="I211">
        <f t="shared" si="44"/>
        <v>0</v>
      </c>
      <c r="J211">
        <f t="shared" si="36"/>
        <v>0</v>
      </c>
      <c r="K211">
        <f t="shared" si="37"/>
        <v>0</v>
      </c>
      <c r="L211">
        <f t="shared" si="38"/>
        <v>0</v>
      </c>
      <c r="M211">
        <f t="shared" si="45"/>
        <v>-6.1804545075000002E-2</v>
      </c>
      <c r="N211">
        <f t="shared" si="46"/>
        <v>0</v>
      </c>
      <c r="O211">
        <f t="shared" si="47"/>
        <v>-0.44111852009999991</v>
      </c>
      <c r="P211">
        <v>43.33</v>
      </c>
      <c r="R211">
        <v>18.975000000000001</v>
      </c>
      <c r="S211">
        <f t="shared" si="39"/>
        <v>44.111852009999993</v>
      </c>
    </row>
    <row r="212" spans="1:19" x14ac:dyDescent="0.3">
      <c r="A212">
        <v>11337253</v>
      </c>
      <c r="B212">
        <f t="shared" si="40"/>
        <v>9.0999999999999998E-2</v>
      </c>
      <c r="C212">
        <f t="shared" si="41"/>
        <v>19.065999999999999</v>
      </c>
      <c r="D212">
        <v>-0.82</v>
      </c>
      <c r="E212">
        <v>0.16</v>
      </c>
      <c r="F212">
        <v>-0.53</v>
      </c>
      <c r="G212">
        <f t="shared" si="42"/>
        <v>0</v>
      </c>
      <c r="H212">
        <f t="shared" si="43"/>
        <v>0</v>
      </c>
      <c r="I212">
        <f t="shared" si="44"/>
        <v>0</v>
      </c>
      <c r="J212">
        <f t="shared" si="36"/>
        <v>0</v>
      </c>
      <c r="K212">
        <f t="shared" si="37"/>
        <v>0</v>
      </c>
      <c r="L212">
        <f t="shared" si="38"/>
        <v>0</v>
      </c>
      <c r="M212">
        <f t="shared" si="45"/>
        <v>-6.1804545075000002E-2</v>
      </c>
      <c r="N212">
        <f t="shared" si="46"/>
        <v>0</v>
      </c>
      <c r="O212">
        <f t="shared" si="47"/>
        <v>-0.44111852009999991</v>
      </c>
      <c r="P212">
        <v>43.120000000000005</v>
      </c>
      <c r="R212">
        <v>19.065999999999999</v>
      </c>
      <c r="S212">
        <f t="shared" si="39"/>
        <v>44.111852009999993</v>
      </c>
    </row>
    <row r="213" spans="1:19" x14ac:dyDescent="0.3">
      <c r="A213">
        <v>11337344</v>
      </c>
      <c r="B213">
        <f t="shared" si="40"/>
        <v>9.0999999999999998E-2</v>
      </c>
      <c r="C213">
        <f t="shared" si="41"/>
        <v>19.157</v>
      </c>
      <c r="D213">
        <v>-0.82</v>
      </c>
      <c r="E213">
        <v>0.15</v>
      </c>
      <c r="F213">
        <v>-0.53</v>
      </c>
      <c r="G213">
        <f t="shared" si="42"/>
        <v>0</v>
      </c>
      <c r="H213">
        <f t="shared" si="43"/>
        <v>1.0000000000000009E-2</v>
      </c>
      <c r="I213">
        <f t="shared" si="44"/>
        <v>0</v>
      </c>
      <c r="J213">
        <f t="shared" si="36"/>
        <v>0</v>
      </c>
      <c r="K213">
        <f t="shared" si="37"/>
        <v>0</v>
      </c>
      <c r="L213">
        <f t="shared" si="38"/>
        <v>0</v>
      </c>
      <c r="M213">
        <f t="shared" si="45"/>
        <v>-6.1804545075000002E-2</v>
      </c>
      <c r="N213">
        <f t="shared" si="46"/>
        <v>0</v>
      </c>
      <c r="O213">
        <f t="shared" si="47"/>
        <v>-0.44111852009999991</v>
      </c>
      <c r="P213">
        <v>43.33</v>
      </c>
      <c r="R213">
        <v>19.157</v>
      </c>
      <c r="S213">
        <f t="shared" si="39"/>
        <v>44.111852009999993</v>
      </c>
    </row>
    <row r="214" spans="1:19" x14ac:dyDescent="0.3">
      <c r="A214">
        <v>11337435</v>
      </c>
      <c r="B214">
        <f t="shared" si="40"/>
        <v>9.0999999999999998E-2</v>
      </c>
      <c r="C214">
        <f t="shared" si="41"/>
        <v>19.248000000000001</v>
      </c>
      <c r="D214">
        <v>-0.81</v>
      </c>
      <c r="E214">
        <v>0.16</v>
      </c>
      <c r="F214">
        <v>-0.53</v>
      </c>
      <c r="G214">
        <f t="shared" si="42"/>
        <v>9.9999999999998979E-3</v>
      </c>
      <c r="H214">
        <f t="shared" si="43"/>
        <v>1.0000000000000009E-2</v>
      </c>
      <c r="I214">
        <f t="shared" si="44"/>
        <v>0</v>
      </c>
      <c r="J214">
        <f t="shared" si="36"/>
        <v>0</v>
      </c>
      <c r="K214">
        <f t="shared" si="37"/>
        <v>0</v>
      </c>
      <c r="L214">
        <f t="shared" si="38"/>
        <v>0</v>
      </c>
      <c r="M214">
        <f t="shared" si="45"/>
        <v>-6.1804545075000002E-2</v>
      </c>
      <c r="N214">
        <f t="shared" si="46"/>
        <v>0</v>
      </c>
      <c r="O214">
        <f t="shared" si="47"/>
        <v>-0.44111852009999991</v>
      </c>
      <c r="P214">
        <v>43.120000000000005</v>
      </c>
      <c r="R214">
        <v>19.248000000000001</v>
      </c>
      <c r="S214">
        <f t="shared" si="39"/>
        <v>44.111852009999993</v>
      </c>
    </row>
    <row r="215" spans="1:19" x14ac:dyDescent="0.3">
      <c r="A215">
        <v>11337526</v>
      </c>
      <c r="B215">
        <f t="shared" si="40"/>
        <v>9.0999999999999998E-2</v>
      </c>
      <c r="C215">
        <f t="shared" si="41"/>
        <v>19.338999999999999</v>
      </c>
      <c r="D215">
        <v>-0.82</v>
      </c>
      <c r="E215">
        <v>0.16</v>
      </c>
      <c r="F215">
        <v>-0.53</v>
      </c>
      <c r="G215">
        <f t="shared" si="42"/>
        <v>9.9999999999998979E-3</v>
      </c>
      <c r="H215">
        <f t="shared" si="43"/>
        <v>0</v>
      </c>
      <c r="I215">
        <f t="shared" si="44"/>
        <v>0</v>
      </c>
      <c r="J215">
        <f t="shared" si="36"/>
        <v>0</v>
      </c>
      <c r="K215">
        <f t="shared" si="37"/>
        <v>0</v>
      </c>
      <c r="L215">
        <f t="shared" si="38"/>
        <v>0</v>
      </c>
      <c r="M215">
        <f t="shared" si="45"/>
        <v>-6.1804545075000002E-2</v>
      </c>
      <c r="N215">
        <f t="shared" si="46"/>
        <v>0</v>
      </c>
      <c r="O215">
        <f t="shared" si="47"/>
        <v>-0.44111852009999991</v>
      </c>
      <c r="P215">
        <v>43.120000000000005</v>
      </c>
      <c r="R215">
        <v>19.338999999999999</v>
      </c>
      <c r="S215">
        <f t="shared" si="39"/>
        <v>44.111852009999993</v>
      </c>
    </row>
    <row r="216" spans="1:19" x14ac:dyDescent="0.3">
      <c r="A216">
        <v>11337616</v>
      </c>
      <c r="B216">
        <f t="shared" si="40"/>
        <v>0.09</v>
      </c>
      <c r="C216">
        <f t="shared" si="41"/>
        <v>19.428999999999998</v>
      </c>
      <c r="D216">
        <v>-0.81</v>
      </c>
      <c r="E216">
        <v>0.16</v>
      </c>
      <c r="F216">
        <v>-0.53</v>
      </c>
      <c r="G216">
        <f t="shared" si="42"/>
        <v>9.9999999999998979E-3</v>
      </c>
      <c r="H216">
        <f t="shared" si="43"/>
        <v>0</v>
      </c>
      <c r="I216">
        <f t="shared" si="44"/>
        <v>0</v>
      </c>
      <c r="J216">
        <f t="shared" si="36"/>
        <v>0</v>
      </c>
      <c r="K216">
        <f t="shared" si="37"/>
        <v>0</v>
      </c>
      <c r="L216">
        <f t="shared" si="38"/>
        <v>0</v>
      </c>
      <c r="M216">
        <f t="shared" si="45"/>
        <v>-6.1804545075000002E-2</v>
      </c>
      <c r="N216">
        <f t="shared" si="46"/>
        <v>0</v>
      </c>
      <c r="O216">
        <f t="shared" si="47"/>
        <v>-0.44111852009999991</v>
      </c>
      <c r="P216">
        <v>43.120000000000005</v>
      </c>
      <c r="R216">
        <v>19.428999999999998</v>
      </c>
      <c r="S216">
        <f t="shared" si="39"/>
        <v>44.111852009999993</v>
      </c>
    </row>
    <row r="217" spans="1:19" x14ac:dyDescent="0.3">
      <c r="A217">
        <v>11337707</v>
      </c>
      <c r="B217">
        <f t="shared" si="40"/>
        <v>9.0999999999999998E-2</v>
      </c>
      <c r="C217">
        <f t="shared" si="41"/>
        <v>19.52</v>
      </c>
      <c r="D217">
        <v>-0.82</v>
      </c>
      <c r="E217">
        <v>0.16</v>
      </c>
      <c r="F217">
        <v>-0.52</v>
      </c>
      <c r="G217">
        <f t="shared" si="42"/>
        <v>9.9999999999998979E-3</v>
      </c>
      <c r="H217">
        <f t="shared" si="43"/>
        <v>0</v>
      </c>
      <c r="I217">
        <f t="shared" si="44"/>
        <v>1.0000000000000009E-2</v>
      </c>
      <c r="J217">
        <f t="shared" si="36"/>
        <v>0</v>
      </c>
      <c r="K217">
        <f t="shared" si="37"/>
        <v>0</v>
      </c>
      <c r="L217">
        <f t="shared" si="38"/>
        <v>0</v>
      </c>
      <c r="M217">
        <f t="shared" si="45"/>
        <v>-6.1804545075000002E-2</v>
      </c>
      <c r="N217">
        <f t="shared" si="46"/>
        <v>0</v>
      </c>
      <c r="O217">
        <f t="shared" si="47"/>
        <v>-0.44111852009999991</v>
      </c>
      <c r="P217">
        <v>43.120000000000005</v>
      </c>
      <c r="R217">
        <v>19.52</v>
      </c>
      <c r="S217">
        <f t="shared" si="39"/>
        <v>44.111852009999993</v>
      </c>
    </row>
    <row r="218" spans="1:19" x14ac:dyDescent="0.3">
      <c r="A218">
        <v>11337798</v>
      </c>
      <c r="B218">
        <f t="shared" si="40"/>
        <v>9.0999999999999998E-2</v>
      </c>
      <c r="C218">
        <f t="shared" si="41"/>
        <v>19.611000000000001</v>
      </c>
      <c r="D218">
        <v>-0.83</v>
      </c>
      <c r="E218">
        <v>0.16</v>
      </c>
      <c r="F218">
        <v>-0.52</v>
      </c>
      <c r="G218">
        <f t="shared" si="42"/>
        <v>1.0000000000000009E-2</v>
      </c>
      <c r="H218">
        <f t="shared" si="43"/>
        <v>0</v>
      </c>
      <c r="I218">
        <f t="shared" si="44"/>
        <v>0</v>
      </c>
      <c r="J218">
        <f t="shared" si="36"/>
        <v>0</v>
      </c>
      <c r="K218">
        <f t="shared" si="37"/>
        <v>0</v>
      </c>
      <c r="L218">
        <f t="shared" si="38"/>
        <v>0</v>
      </c>
      <c r="M218">
        <f t="shared" si="45"/>
        <v>-6.1804545075000002E-2</v>
      </c>
      <c r="N218">
        <f t="shared" si="46"/>
        <v>0</v>
      </c>
      <c r="O218">
        <f t="shared" si="47"/>
        <v>-0.44111852009999991</v>
      </c>
      <c r="P218">
        <v>43.33</v>
      </c>
      <c r="R218">
        <v>19.611000000000001</v>
      </c>
      <c r="S218">
        <f t="shared" si="39"/>
        <v>44.111852009999993</v>
      </c>
    </row>
    <row r="219" spans="1:19" x14ac:dyDescent="0.3">
      <c r="A219">
        <v>11337888</v>
      </c>
      <c r="B219">
        <f t="shared" si="40"/>
        <v>0.09</v>
      </c>
      <c r="C219">
        <f t="shared" si="41"/>
        <v>19.701000000000001</v>
      </c>
      <c r="D219">
        <v>-0.82</v>
      </c>
      <c r="E219">
        <v>0.16</v>
      </c>
      <c r="F219">
        <v>-0.52</v>
      </c>
      <c r="G219">
        <f t="shared" si="42"/>
        <v>1.0000000000000009E-2</v>
      </c>
      <c r="H219">
        <f t="shared" si="43"/>
        <v>0</v>
      </c>
      <c r="I219">
        <f t="shared" si="44"/>
        <v>0</v>
      </c>
      <c r="J219">
        <f t="shared" si="36"/>
        <v>0</v>
      </c>
      <c r="K219">
        <f t="shared" si="37"/>
        <v>0</v>
      </c>
      <c r="L219">
        <f t="shared" si="38"/>
        <v>0</v>
      </c>
      <c r="M219">
        <f t="shared" si="45"/>
        <v>-6.1804545075000002E-2</v>
      </c>
      <c r="N219">
        <f t="shared" si="46"/>
        <v>0</v>
      </c>
      <c r="O219">
        <f t="shared" si="47"/>
        <v>-0.44111852009999991</v>
      </c>
      <c r="P219">
        <v>43.33</v>
      </c>
      <c r="R219">
        <v>19.701000000000001</v>
      </c>
      <c r="S219">
        <f t="shared" si="39"/>
        <v>44.111852009999993</v>
      </c>
    </row>
    <row r="220" spans="1:19" x14ac:dyDescent="0.3">
      <c r="A220">
        <v>11337979</v>
      </c>
      <c r="B220">
        <f t="shared" si="40"/>
        <v>9.0999999999999998E-2</v>
      </c>
      <c r="C220">
        <f t="shared" si="41"/>
        <v>19.792000000000002</v>
      </c>
      <c r="D220">
        <v>-0.82</v>
      </c>
      <c r="E220">
        <v>0.16</v>
      </c>
      <c r="F220">
        <v>-0.52</v>
      </c>
      <c r="G220">
        <f t="shared" si="42"/>
        <v>0</v>
      </c>
      <c r="H220">
        <f t="shared" si="43"/>
        <v>0</v>
      </c>
      <c r="I220">
        <f t="shared" si="44"/>
        <v>0</v>
      </c>
      <c r="J220">
        <f t="shared" si="36"/>
        <v>0</v>
      </c>
      <c r="K220">
        <f t="shared" si="37"/>
        <v>0</v>
      </c>
      <c r="L220">
        <f t="shared" si="38"/>
        <v>0</v>
      </c>
      <c r="M220">
        <f t="shared" si="45"/>
        <v>-6.1804545075000002E-2</v>
      </c>
      <c r="N220">
        <f t="shared" si="46"/>
        <v>0</v>
      </c>
      <c r="O220">
        <f t="shared" si="47"/>
        <v>-0.44111852009999991</v>
      </c>
      <c r="P220">
        <v>43.33</v>
      </c>
      <c r="R220">
        <v>19.792000000000002</v>
      </c>
      <c r="S220">
        <f t="shared" si="39"/>
        <v>44.111852009999993</v>
      </c>
    </row>
    <row r="221" spans="1:19" x14ac:dyDescent="0.3">
      <c r="A221">
        <v>11338071</v>
      </c>
      <c r="B221">
        <f t="shared" si="40"/>
        <v>9.1999999999999998E-2</v>
      </c>
      <c r="C221">
        <f t="shared" si="41"/>
        <v>19.884</v>
      </c>
      <c r="D221">
        <v>-0.83</v>
      </c>
      <c r="E221">
        <v>0.15</v>
      </c>
      <c r="F221">
        <v>-0.52</v>
      </c>
      <c r="G221">
        <f t="shared" si="42"/>
        <v>1.0000000000000009E-2</v>
      </c>
      <c r="H221">
        <f t="shared" si="43"/>
        <v>1.0000000000000009E-2</v>
      </c>
      <c r="I221">
        <f t="shared" si="44"/>
        <v>0</v>
      </c>
      <c r="J221">
        <f t="shared" si="36"/>
        <v>0</v>
      </c>
      <c r="K221">
        <f t="shared" si="37"/>
        <v>0</v>
      </c>
      <c r="L221">
        <f t="shared" si="38"/>
        <v>0</v>
      </c>
      <c r="M221">
        <f t="shared" si="45"/>
        <v>-6.1804545075000002E-2</v>
      </c>
      <c r="N221">
        <f t="shared" si="46"/>
        <v>0</v>
      </c>
      <c r="O221">
        <f t="shared" si="47"/>
        <v>-0.44111852009999991</v>
      </c>
      <c r="P221">
        <v>42.710000000000008</v>
      </c>
      <c r="R221">
        <v>19.884</v>
      </c>
      <c r="S221">
        <f t="shared" si="39"/>
        <v>44.111852009999993</v>
      </c>
    </row>
    <row r="222" spans="1:19" x14ac:dyDescent="0.3">
      <c r="A222">
        <v>11338161</v>
      </c>
      <c r="B222">
        <f t="shared" si="40"/>
        <v>0.09</v>
      </c>
      <c r="C222">
        <f t="shared" si="41"/>
        <v>19.974</v>
      </c>
      <c r="D222">
        <v>-0.82</v>
      </c>
      <c r="E222">
        <v>0.16</v>
      </c>
      <c r="F222">
        <v>-0.52</v>
      </c>
      <c r="G222">
        <f t="shared" si="42"/>
        <v>1.0000000000000009E-2</v>
      </c>
      <c r="H222">
        <f t="shared" si="43"/>
        <v>1.0000000000000009E-2</v>
      </c>
      <c r="I222">
        <f t="shared" si="44"/>
        <v>0</v>
      </c>
      <c r="J222">
        <f t="shared" si="36"/>
        <v>0</v>
      </c>
      <c r="K222">
        <f t="shared" si="37"/>
        <v>0</v>
      </c>
      <c r="L222">
        <f t="shared" si="38"/>
        <v>0</v>
      </c>
      <c r="M222">
        <f t="shared" si="45"/>
        <v>-6.1804545075000002E-2</v>
      </c>
      <c r="N222">
        <f t="shared" si="46"/>
        <v>0</v>
      </c>
      <c r="O222">
        <f t="shared" si="47"/>
        <v>-0.44111852009999991</v>
      </c>
      <c r="P222">
        <v>43.120000000000005</v>
      </c>
      <c r="R222">
        <v>19.974</v>
      </c>
      <c r="S222">
        <f t="shared" si="39"/>
        <v>44.111852009999993</v>
      </c>
    </row>
    <row r="223" spans="1:19" x14ac:dyDescent="0.3">
      <c r="A223">
        <v>11338252</v>
      </c>
      <c r="B223">
        <f t="shared" si="40"/>
        <v>9.0999999999999998E-2</v>
      </c>
      <c r="C223">
        <f t="shared" si="41"/>
        <v>20.065000000000001</v>
      </c>
      <c r="D223">
        <v>-0.82</v>
      </c>
      <c r="E223">
        <v>0.16</v>
      </c>
      <c r="F223">
        <v>-0.53</v>
      </c>
      <c r="G223">
        <f t="shared" si="42"/>
        <v>0</v>
      </c>
      <c r="H223">
        <f t="shared" si="43"/>
        <v>0</v>
      </c>
      <c r="I223">
        <f t="shared" si="44"/>
        <v>1.0000000000000009E-2</v>
      </c>
      <c r="J223">
        <f t="shared" si="36"/>
        <v>0</v>
      </c>
      <c r="K223">
        <f t="shared" si="37"/>
        <v>0</v>
      </c>
      <c r="L223">
        <f t="shared" si="38"/>
        <v>0</v>
      </c>
      <c r="M223">
        <f t="shared" si="45"/>
        <v>-6.1804545075000002E-2</v>
      </c>
      <c r="N223">
        <f t="shared" si="46"/>
        <v>0</v>
      </c>
      <c r="O223">
        <f t="shared" si="47"/>
        <v>-0.44111852009999991</v>
      </c>
      <c r="P223">
        <v>43.540000000000006</v>
      </c>
      <c r="R223">
        <v>20.065000000000001</v>
      </c>
      <c r="S223">
        <f t="shared" si="39"/>
        <v>44.111852009999993</v>
      </c>
    </row>
    <row r="224" spans="1:19" x14ac:dyDescent="0.3">
      <c r="A224">
        <v>11338343</v>
      </c>
      <c r="B224">
        <f t="shared" si="40"/>
        <v>9.0999999999999998E-2</v>
      </c>
      <c r="C224">
        <f t="shared" si="41"/>
        <v>20.155999999999999</v>
      </c>
      <c r="D224">
        <v>-0.82</v>
      </c>
      <c r="E224">
        <v>0.16</v>
      </c>
      <c r="F224">
        <v>-0.52</v>
      </c>
      <c r="G224">
        <f t="shared" si="42"/>
        <v>0</v>
      </c>
      <c r="H224">
        <f t="shared" si="43"/>
        <v>0</v>
      </c>
      <c r="I224">
        <f t="shared" si="44"/>
        <v>1.0000000000000009E-2</v>
      </c>
      <c r="J224">
        <f t="shared" si="36"/>
        <v>0</v>
      </c>
      <c r="K224">
        <f t="shared" si="37"/>
        <v>0</v>
      </c>
      <c r="L224">
        <f t="shared" si="38"/>
        <v>0</v>
      </c>
      <c r="M224">
        <f t="shared" si="45"/>
        <v>-6.1804545075000002E-2</v>
      </c>
      <c r="N224">
        <f t="shared" si="46"/>
        <v>0</v>
      </c>
      <c r="O224">
        <f t="shared" si="47"/>
        <v>-0.44111852009999991</v>
      </c>
      <c r="P224">
        <v>43.120000000000005</v>
      </c>
      <c r="R224">
        <v>20.155999999999999</v>
      </c>
      <c r="S224">
        <f t="shared" si="39"/>
        <v>44.111852009999993</v>
      </c>
    </row>
    <row r="225" spans="1:19" x14ac:dyDescent="0.3">
      <c r="A225">
        <v>11338434</v>
      </c>
      <c r="B225">
        <f t="shared" si="40"/>
        <v>9.0999999999999998E-2</v>
      </c>
      <c r="C225">
        <f t="shared" si="41"/>
        <v>20.247</v>
      </c>
      <c r="D225">
        <v>-0.82</v>
      </c>
      <c r="E225">
        <v>0.16</v>
      </c>
      <c r="F225">
        <v>-0.52</v>
      </c>
      <c r="G225">
        <f t="shared" si="42"/>
        <v>0</v>
      </c>
      <c r="H225">
        <f t="shared" si="43"/>
        <v>0</v>
      </c>
      <c r="I225">
        <f t="shared" si="44"/>
        <v>0</v>
      </c>
      <c r="J225">
        <f t="shared" si="36"/>
        <v>0</v>
      </c>
      <c r="K225">
        <f t="shared" si="37"/>
        <v>0</v>
      </c>
      <c r="L225">
        <f t="shared" si="38"/>
        <v>0</v>
      </c>
      <c r="M225">
        <f t="shared" si="45"/>
        <v>-6.1804545075000002E-2</v>
      </c>
      <c r="N225">
        <f t="shared" si="46"/>
        <v>0</v>
      </c>
      <c r="O225">
        <f t="shared" si="47"/>
        <v>-0.44111852009999991</v>
      </c>
      <c r="P225">
        <v>43.120000000000005</v>
      </c>
      <c r="R225">
        <v>20.247</v>
      </c>
      <c r="S225">
        <f t="shared" si="39"/>
        <v>44.111852009999993</v>
      </c>
    </row>
    <row r="226" spans="1:19" x14ac:dyDescent="0.3">
      <c r="A226">
        <v>11338524</v>
      </c>
      <c r="B226">
        <f t="shared" si="40"/>
        <v>0.09</v>
      </c>
      <c r="C226">
        <f t="shared" si="41"/>
        <v>20.337</v>
      </c>
      <c r="D226">
        <v>-0.82</v>
      </c>
      <c r="E226">
        <v>0.16</v>
      </c>
      <c r="F226">
        <v>-0.53</v>
      </c>
      <c r="G226">
        <f t="shared" si="42"/>
        <v>0</v>
      </c>
      <c r="H226">
        <f t="shared" si="43"/>
        <v>0</v>
      </c>
      <c r="I226">
        <f t="shared" si="44"/>
        <v>1.0000000000000009E-2</v>
      </c>
      <c r="J226">
        <f t="shared" si="36"/>
        <v>0</v>
      </c>
      <c r="K226">
        <f t="shared" si="37"/>
        <v>0</v>
      </c>
      <c r="L226">
        <f t="shared" si="38"/>
        <v>0</v>
      </c>
      <c r="M226">
        <f t="shared" si="45"/>
        <v>-6.1804545075000002E-2</v>
      </c>
      <c r="N226">
        <f t="shared" si="46"/>
        <v>0</v>
      </c>
      <c r="O226">
        <f t="shared" si="47"/>
        <v>-0.44111852009999991</v>
      </c>
      <c r="P226">
        <v>43.33</v>
      </c>
      <c r="R226">
        <v>20.337</v>
      </c>
      <c r="S226">
        <f t="shared" si="39"/>
        <v>44.111852009999993</v>
      </c>
    </row>
    <row r="227" spans="1:19" x14ac:dyDescent="0.3">
      <c r="A227">
        <v>11338615</v>
      </c>
      <c r="B227">
        <f t="shared" si="40"/>
        <v>9.0999999999999998E-2</v>
      </c>
      <c r="C227">
        <f t="shared" si="41"/>
        <v>20.428000000000001</v>
      </c>
      <c r="D227">
        <v>-0.82</v>
      </c>
      <c r="E227">
        <v>0.16</v>
      </c>
      <c r="F227">
        <v>-0.52</v>
      </c>
      <c r="G227">
        <f t="shared" si="42"/>
        <v>0</v>
      </c>
      <c r="H227">
        <f t="shared" si="43"/>
        <v>0</v>
      </c>
      <c r="I227">
        <f t="shared" si="44"/>
        <v>1.0000000000000009E-2</v>
      </c>
      <c r="J227">
        <f t="shared" si="36"/>
        <v>0</v>
      </c>
      <c r="K227">
        <f t="shared" si="37"/>
        <v>0</v>
      </c>
      <c r="L227">
        <f t="shared" si="38"/>
        <v>0</v>
      </c>
      <c r="M227">
        <f t="shared" si="45"/>
        <v>-6.1804545075000002E-2</v>
      </c>
      <c r="N227">
        <f t="shared" si="46"/>
        <v>0</v>
      </c>
      <c r="O227">
        <f t="shared" si="47"/>
        <v>-0.44111852009999991</v>
      </c>
      <c r="P227">
        <v>43.120000000000005</v>
      </c>
      <c r="R227">
        <v>20.428000000000001</v>
      </c>
      <c r="S227">
        <f t="shared" si="39"/>
        <v>44.111852009999993</v>
      </c>
    </row>
    <row r="228" spans="1:19" x14ac:dyDescent="0.3">
      <c r="A228">
        <v>11338706</v>
      </c>
      <c r="B228">
        <f t="shared" si="40"/>
        <v>9.0999999999999998E-2</v>
      </c>
      <c r="C228">
        <f t="shared" si="41"/>
        <v>20.518999999999998</v>
      </c>
      <c r="D228">
        <v>-0.82</v>
      </c>
      <c r="E228">
        <v>0.15</v>
      </c>
      <c r="F228">
        <v>-0.52</v>
      </c>
      <c r="G228">
        <f t="shared" si="42"/>
        <v>0</v>
      </c>
      <c r="H228">
        <f t="shared" si="43"/>
        <v>1.0000000000000009E-2</v>
      </c>
      <c r="I228">
        <f t="shared" si="44"/>
        <v>0</v>
      </c>
      <c r="J228">
        <f t="shared" si="36"/>
        <v>0</v>
      </c>
      <c r="K228">
        <f t="shared" si="37"/>
        <v>0</v>
      </c>
      <c r="L228">
        <f t="shared" si="38"/>
        <v>0</v>
      </c>
      <c r="M228">
        <f t="shared" si="45"/>
        <v>-6.1804545075000002E-2</v>
      </c>
      <c r="N228">
        <f t="shared" si="46"/>
        <v>0</v>
      </c>
      <c r="O228">
        <f t="shared" si="47"/>
        <v>-0.44111852009999991</v>
      </c>
      <c r="P228">
        <v>43.33</v>
      </c>
      <c r="R228">
        <v>20.518999999999998</v>
      </c>
      <c r="S228">
        <f t="shared" si="39"/>
        <v>44.111852009999993</v>
      </c>
    </row>
    <row r="229" spans="1:19" x14ac:dyDescent="0.3">
      <c r="A229">
        <v>11338797</v>
      </c>
      <c r="B229">
        <f t="shared" si="40"/>
        <v>9.0999999999999998E-2</v>
      </c>
      <c r="C229">
        <f t="shared" si="41"/>
        <v>20.61</v>
      </c>
      <c r="D229">
        <v>-0.82</v>
      </c>
      <c r="E229">
        <v>0.15</v>
      </c>
      <c r="F229">
        <v>-0.53</v>
      </c>
      <c r="G229">
        <f t="shared" si="42"/>
        <v>0</v>
      </c>
      <c r="H229">
        <f t="shared" si="43"/>
        <v>0</v>
      </c>
      <c r="I229">
        <f t="shared" si="44"/>
        <v>1.0000000000000009E-2</v>
      </c>
      <c r="J229">
        <f t="shared" si="36"/>
        <v>0</v>
      </c>
      <c r="K229">
        <f t="shared" si="37"/>
        <v>0</v>
      </c>
      <c r="L229">
        <f t="shared" si="38"/>
        <v>0</v>
      </c>
      <c r="M229">
        <f t="shared" si="45"/>
        <v>-6.1804545075000002E-2</v>
      </c>
      <c r="N229">
        <f t="shared" si="46"/>
        <v>0</v>
      </c>
      <c r="O229">
        <f t="shared" si="47"/>
        <v>-0.44111852009999991</v>
      </c>
      <c r="P229">
        <v>43.120000000000005</v>
      </c>
      <c r="R229">
        <v>20.61</v>
      </c>
      <c r="S229">
        <f t="shared" si="39"/>
        <v>44.111852009999993</v>
      </c>
    </row>
    <row r="230" spans="1:19" x14ac:dyDescent="0.3">
      <c r="A230">
        <v>11338888</v>
      </c>
      <c r="B230">
        <f t="shared" si="40"/>
        <v>9.0999999999999998E-2</v>
      </c>
      <c r="C230">
        <f t="shared" si="41"/>
        <v>20.701000000000001</v>
      </c>
      <c r="D230">
        <v>-0.81</v>
      </c>
      <c r="E230">
        <v>0.16</v>
      </c>
      <c r="F230">
        <v>-0.52</v>
      </c>
      <c r="G230">
        <f t="shared" si="42"/>
        <v>9.9999999999998979E-3</v>
      </c>
      <c r="H230">
        <f t="shared" si="43"/>
        <v>1.0000000000000009E-2</v>
      </c>
      <c r="I230">
        <f t="shared" si="44"/>
        <v>1.0000000000000009E-2</v>
      </c>
      <c r="J230">
        <f t="shared" si="36"/>
        <v>0</v>
      </c>
      <c r="K230">
        <f t="shared" si="37"/>
        <v>0</v>
      </c>
      <c r="L230">
        <f t="shared" si="38"/>
        <v>0</v>
      </c>
      <c r="M230">
        <f t="shared" si="45"/>
        <v>-6.1804545075000002E-2</v>
      </c>
      <c r="N230">
        <f t="shared" si="46"/>
        <v>0</v>
      </c>
      <c r="O230">
        <f t="shared" si="47"/>
        <v>-0.44111852009999991</v>
      </c>
      <c r="P230">
        <v>43.33</v>
      </c>
      <c r="R230">
        <v>20.701000000000001</v>
      </c>
      <c r="S230">
        <f t="shared" si="39"/>
        <v>44.111852009999993</v>
      </c>
    </row>
    <row r="231" spans="1:19" x14ac:dyDescent="0.3">
      <c r="A231">
        <v>11338979</v>
      </c>
      <c r="B231">
        <f t="shared" si="40"/>
        <v>9.0999999999999998E-2</v>
      </c>
      <c r="C231">
        <f t="shared" si="41"/>
        <v>20.792000000000002</v>
      </c>
      <c r="D231">
        <v>-0.82</v>
      </c>
      <c r="E231">
        <v>0.16</v>
      </c>
      <c r="F231">
        <v>-0.53</v>
      </c>
      <c r="G231">
        <f t="shared" si="42"/>
        <v>9.9999999999998979E-3</v>
      </c>
      <c r="H231">
        <f t="shared" si="43"/>
        <v>0</v>
      </c>
      <c r="I231">
        <f t="shared" si="44"/>
        <v>1.0000000000000009E-2</v>
      </c>
      <c r="J231">
        <f t="shared" si="36"/>
        <v>0</v>
      </c>
      <c r="K231">
        <f t="shared" si="37"/>
        <v>0</v>
      </c>
      <c r="L231">
        <f t="shared" si="38"/>
        <v>0</v>
      </c>
      <c r="M231">
        <f t="shared" si="45"/>
        <v>-6.1804545075000002E-2</v>
      </c>
      <c r="N231">
        <f t="shared" si="46"/>
        <v>0</v>
      </c>
      <c r="O231">
        <f t="shared" si="47"/>
        <v>-0.44111852009999991</v>
      </c>
      <c r="P231">
        <v>43.120000000000005</v>
      </c>
      <c r="R231">
        <v>20.792000000000002</v>
      </c>
      <c r="S231">
        <f t="shared" si="39"/>
        <v>44.111852009999993</v>
      </c>
    </row>
    <row r="232" spans="1:19" x14ac:dyDescent="0.3">
      <c r="A232">
        <v>11339069</v>
      </c>
      <c r="B232">
        <f t="shared" si="40"/>
        <v>0.09</v>
      </c>
      <c r="C232">
        <f t="shared" si="41"/>
        <v>20.882000000000001</v>
      </c>
      <c r="D232">
        <v>-0.82</v>
      </c>
      <c r="E232">
        <v>0.16</v>
      </c>
      <c r="F232">
        <v>-0.52</v>
      </c>
      <c r="G232">
        <f t="shared" si="42"/>
        <v>0</v>
      </c>
      <c r="H232">
        <f t="shared" si="43"/>
        <v>0</v>
      </c>
      <c r="I232">
        <f t="shared" si="44"/>
        <v>1.0000000000000009E-2</v>
      </c>
      <c r="J232">
        <f t="shared" si="36"/>
        <v>0</v>
      </c>
      <c r="K232">
        <f t="shared" si="37"/>
        <v>0</v>
      </c>
      <c r="L232">
        <f t="shared" si="38"/>
        <v>0</v>
      </c>
      <c r="M232">
        <f t="shared" si="45"/>
        <v>-6.1804545075000002E-2</v>
      </c>
      <c r="N232">
        <f t="shared" si="46"/>
        <v>0</v>
      </c>
      <c r="O232">
        <f t="shared" si="47"/>
        <v>-0.44111852009999991</v>
      </c>
      <c r="P232">
        <v>43.33</v>
      </c>
      <c r="R232">
        <v>20.882000000000001</v>
      </c>
      <c r="S232">
        <f t="shared" si="39"/>
        <v>44.111852009999993</v>
      </c>
    </row>
    <row r="233" spans="1:19" x14ac:dyDescent="0.3">
      <c r="A233">
        <v>11339160</v>
      </c>
      <c r="B233">
        <f t="shared" si="40"/>
        <v>9.0999999999999998E-2</v>
      </c>
      <c r="C233">
        <f t="shared" si="41"/>
        <v>20.972999999999999</v>
      </c>
      <c r="D233">
        <v>-0.82</v>
      </c>
      <c r="E233">
        <v>0.15</v>
      </c>
      <c r="F233">
        <v>-0.52</v>
      </c>
      <c r="G233">
        <f t="shared" si="42"/>
        <v>0</v>
      </c>
      <c r="H233">
        <f t="shared" si="43"/>
        <v>1.0000000000000009E-2</v>
      </c>
      <c r="I233">
        <f t="shared" si="44"/>
        <v>0</v>
      </c>
      <c r="J233">
        <f t="shared" si="36"/>
        <v>0</v>
      </c>
      <c r="K233">
        <f t="shared" si="37"/>
        <v>0</v>
      </c>
      <c r="L233">
        <f t="shared" si="38"/>
        <v>0</v>
      </c>
      <c r="M233">
        <f t="shared" si="45"/>
        <v>-6.1804545075000002E-2</v>
      </c>
      <c r="N233">
        <f t="shared" si="46"/>
        <v>0</v>
      </c>
      <c r="O233">
        <f t="shared" si="47"/>
        <v>-0.44111852009999991</v>
      </c>
      <c r="P233">
        <v>42.710000000000008</v>
      </c>
      <c r="R233">
        <v>20.972999999999999</v>
      </c>
      <c r="S233">
        <f t="shared" si="39"/>
        <v>44.111852009999993</v>
      </c>
    </row>
    <row r="234" spans="1:19" x14ac:dyDescent="0.3">
      <c r="A234">
        <v>11339251</v>
      </c>
      <c r="B234">
        <f t="shared" si="40"/>
        <v>9.0999999999999998E-2</v>
      </c>
      <c r="C234">
        <f t="shared" si="41"/>
        <v>21.064</v>
      </c>
      <c r="D234">
        <v>-0.82</v>
      </c>
      <c r="E234">
        <v>0.16</v>
      </c>
      <c r="F234">
        <v>-0.52</v>
      </c>
      <c r="G234">
        <f t="shared" si="42"/>
        <v>0</v>
      </c>
      <c r="H234">
        <f t="shared" si="43"/>
        <v>1.0000000000000009E-2</v>
      </c>
      <c r="I234">
        <f t="shared" si="44"/>
        <v>0</v>
      </c>
      <c r="J234">
        <f t="shared" si="36"/>
        <v>0</v>
      </c>
      <c r="K234">
        <f t="shared" si="37"/>
        <v>0</v>
      </c>
      <c r="L234">
        <f t="shared" si="38"/>
        <v>0</v>
      </c>
      <c r="M234">
        <f t="shared" si="45"/>
        <v>-6.1804545075000002E-2</v>
      </c>
      <c r="N234">
        <f t="shared" si="46"/>
        <v>0</v>
      </c>
      <c r="O234">
        <f t="shared" si="47"/>
        <v>-0.44111852009999991</v>
      </c>
      <c r="P234">
        <v>43.540000000000006</v>
      </c>
      <c r="R234">
        <v>21.064</v>
      </c>
      <c r="S234">
        <f t="shared" si="39"/>
        <v>44.111852009999993</v>
      </c>
    </row>
    <row r="235" spans="1:19" x14ac:dyDescent="0.3">
      <c r="A235">
        <v>11339341</v>
      </c>
      <c r="B235">
        <f t="shared" si="40"/>
        <v>0.09</v>
      </c>
      <c r="C235">
        <f t="shared" si="41"/>
        <v>21.154</v>
      </c>
      <c r="D235">
        <v>-0.81</v>
      </c>
      <c r="E235">
        <v>0.15</v>
      </c>
      <c r="F235">
        <v>-0.52</v>
      </c>
      <c r="G235">
        <f t="shared" si="42"/>
        <v>9.9999999999998979E-3</v>
      </c>
      <c r="H235">
        <f t="shared" si="43"/>
        <v>1.0000000000000009E-2</v>
      </c>
      <c r="I235">
        <f t="shared" si="44"/>
        <v>0</v>
      </c>
      <c r="J235">
        <f t="shared" si="36"/>
        <v>0</v>
      </c>
      <c r="K235">
        <f t="shared" si="37"/>
        <v>0</v>
      </c>
      <c r="L235">
        <f t="shared" si="38"/>
        <v>0</v>
      </c>
      <c r="M235">
        <f t="shared" si="45"/>
        <v>-6.1804545075000002E-2</v>
      </c>
      <c r="N235">
        <f t="shared" si="46"/>
        <v>0</v>
      </c>
      <c r="O235">
        <f t="shared" si="47"/>
        <v>-0.44111852009999991</v>
      </c>
      <c r="P235">
        <v>43.75</v>
      </c>
      <c r="R235">
        <v>21.154</v>
      </c>
      <c r="S235">
        <f t="shared" si="39"/>
        <v>44.111852009999993</v>
      </c>
    </row>
    <row r="236" spans="1:19" x14ac:dyDescent="0.3">
      <c r="A236">
        <v>11339432</v>
      </c>
      <c r="B236">
        <f t="shared" si="40"/>
        <v>9.0999999999999998E-2</v>
      </c>
      <c r="C236">
        <f t="shared" si="41"/>
        <v>21.245000000000001</v>
      </c>
      <c r="D236">
        <v>-0.82</v>
      </c>
      <c r="E236">
        <v>0.16</v>
      </c>
      <c r="F236">
        <v>-0.52</v>
      </c>
      <c r="G236">
        <f t="shared" si="42"/>
        <v>9.9999999999998979E-3</v>
      </c>
      <c r="H236">
        <f t="shared" si="43"/>
        <v>1.0000000000000009E-2</v>
      </c>
      <c r="I236">
        <f t="shared" si="44"/>
        <v>0</v>
      </c>
      <c r="J236">
        <f t="shared" si="36"/>
        <v>0</v>
      </c>
      <c r="K236">
        <f t="shared" si="37"/>
        <v>0</v>
      </c>
      <c r="L236">
        <f t="shared" si="38"/>
        <v>0</v>
      </c>
      <c r="M236">
        <f t="shared" si="45"/>
        <v>-6.1804545075000002E-2</v>
      </c>
      <c r="N236">
        <f t="shared" si="46"/>
        <v>0</v>
      </c>
      <c r="O236">
        <f t="shared" si="47"/>
        <v>-0.44111852009999991</v>
      </c>
      <c r="P236">
        <v>43.33</v>
      </c>
      <c r="R236">
        <v>21.245000000000001</v>
      </c>
      <c r="S236">
        <f t="shared" si="39"/>
        <v>44.111852009999993</v>
      </c>
    </row>
    <row r="237" spans="1:19" x14ac:dyDescent="0.3">
      <c r="A237">
        <v>11339524</v>
      </c>
      <c r="B237">
        <f t="shared" si="40"/>
        <v>9.1999999999999998E-2</v>
      </c>
      <c r="C237">
        <f t="shared" si="41"/>
        <v>21.337</v>
      </c>
      <c r="D237">
        <v>-0.82</v>
      </c>
      <c r="E237">
        <v>0.16</v>
      </c>
      <c r="F237">
        <v>-0.52</v>
      </c>
      <c r="G237">
        <f t="shared" si="42"/>
        <v>0</v>
      </c>
      <c r="H237">
        <f t="shared" si="43"/>
        <v>0</v>
      </c>
      <c r="I237">
        <f t="shared" si="44"/>
        <v>0</v>
      </c>
      <c r="J237">
        <f t="shared" si="36"/>
        <v>0</v>
      </c>
      <c r="K237">
        <f t="shared" si="37"/>
        <v>0</v>
      </c>
      <c r="L237">
        <f t="shared" si="38"/>
        <v>0</v>
      </c>
      <c r="M237">
        <f t="shared" si="45"/>
        <v>-6.1804545075000002E-2</v>
      </c>
      <c r="N237">
        <f t="shared" si="46"/>
        <v>0</v>
      </c>
      <c r="O237">
        <f t="shared" si="47"/>
        <v>-0.44111852009999991</v>
      </c>
      <c r="P237">
        <v>43.33</v>
      </c>
      <c r="R237">
        <v>21.337</v>
      </c>
      <c r="S237">
        <f t="shared" si="39"/>
        <v>44.111852009999993</v>
      </c>
    </row>
    <row r="238" spans="1:19" x14ac:dyDescent="0.3">
      <c r="A238">
        <v>11339614</v>
      </c>
      <c r="B238">
        <f t="shared" si="40"/>
        <v>0.09</v>
      </c>
      <c r="C238">
        <f t="shared" si="41"/>
        <v>21.427</v>
      </c>
      <c r="D238">
        <v>-0.82</v>
      </c>
      <c r="E238">
        <v>0.16</v>
      </c>
      <c r="F238">
        <v>-0.52</v>
      </c>
      <c r="G238">
        <f t="shared" si="42"/>
        <v>0</v>
      </c>
      <c r="H238">
        <f t="shared" si="43"/>
        <v>0</v>
      </c>
      <c r="I238">
        <f t="shared" si="44"/>
        <v>0</v>
      </c>
      <c r="J238">
        <f t="shared" si="36"/>
        <v>0</v>
      </c>
      <c r="K238">
        <f t="shared" si="37"/>
        <v>0</v>
      </c>
      <c r="L238">
        <f t="shared" si="38"/>
        <v>0</v>
      </c>
      <c r="M238">
        <f t="shared" si="45"/>
        <v>-6.1804545075000002E-2</v>
      </c>
      <c r="N238">
        <f t="shared" si="46"/>
        <v>0</v>
      </c>
      <c r="O238">
        <f t="shared" si="47"/>
        <v>-0.44111852009999991</v>
      </c>
      <c r="P238">
        <v>43.120000000000005</v>
      </c>
      <c r="R238">
        <v>21.427</v>
      </c>
      <c r="S238">
        <f t="shared" si="39"/>
        <v>44.111852009999993</v>
      </c>
    </row>
    <row r="239" spans="1:19" x14ac:dyDescent="0.3">
      <c r="A239">
        <v>11339705</v>
      </c>
      <c r="B239">
        <f t="shared" si="40"/>
        <v>9.0999999999999998E-2</v>
      </c>
      <c r="C239">
        <f t="shared" si="41"/>
        <v>21.518000000000001</v>
      </c>
      <c r="D239">
        <v>-0.83</v>
      </c>
      <c r="E239">
        <v>0.16</v>
      </c>
      <c r="F239">
        <v>-0.52</v>
      </c>
      <c r="G239">
        <f t="shared" si="42"/>
        <v>1.0000000000000009E-2</v>
      </c>
      <c r="H239">
        <f t="shared" si="43"/>
        <v>0</v>
      </c>
      <c r="I239">
        <f t="shared" si="44"/>
        <v>0</v>
      </c>
      <c r="J239">
        <f t="shared" si="36"/>
        <v>0</v>
      </c>
      <c r="K239">
        <f t="shared" si="37"/>
        <v>0</v>
      </c>
      <c r="L239">
        <f t="shared" si="38"/>
        <v>0</v>
      </c>
      <c r="M239">
        <f t="shared" si="45"/>
        <v>-6.1804545075000002E-2</v>
      </c>
      <c r="N239">
        <f t="shared" si="46"/>
        <v>0</v>
      </c>
      <c r="O239">
        <f t="shared" si="47"/>
        <v>-0.44111852009999991</v>
      </c>
      <c r="P239">
        <v>43.33</v>
      </c>
      <c r="R239">
        <v>21.518000000000001</v>
      </c>
      <c r="S239">
        <f t="shared" si="39"/>
        <v>44.111852009999993</v>
      </c>
    </row>
    <row r="240" spans="1:19" x14ac:dyDescent="0.3">
      <c r="A240">
        <v>11339796</v>
      </c>
      <c r="B240">
        <f t="shared" si="40"/>
        <v>9.0999999999999998E-2</v>
      </c>
      <c r="C240">
        <f t="shared" si="41"/>
        <v>21.609000000000002</v>
      </c>
      <c r="D240">
        <v>-0.82</v>
      </c>
      <c r="E240">
        <v>0.15</v>
      </c>
      <c r="F240">
        <v>-0.52</v>
      </c>
      <c r="G240">
        <f t="shared" si="42"/>
        <v>1.0000000000000009E-2</v>
      </c>
      <c r="H240">
        <f t="shared" si="43"/>
        <v>1.0000000000000009E-2</v>
      </c>
      <c r="I240">
        <f t="shared" si="44"/>
        <v>0</v>
      </c>
      <c r="J240">
        <f t="shared" si="36"/>
        <v>0</v>
      </c>
      <c r="K240">
        <f t="shared" si="37"/>
        <v>0</v>
      </c>
      <c r="L240">
        <f t="shared" si="38"/>
        <v>0</v>
      </c>
      <c r="M240">
        <f t="shared" si="45"/>
        <v>-6.1804545075000002E-2</v>
      </c>
      <c r="N240">
        <f t="shared" si="46"/>
        <v>0</v>
      </c>
      <c r="O240">
        <f t="shared" si="47"/>
        <v>-0.44111852009999991</v>
      </c>
      <c r="P240">
        <v>43.120000000000005</v>
      </c>
      <c r="R240">
        <v>21.609000000000002</v>
      </c>
      <c r="S240">
        <f t="shared" si="39"/>
        <v>44.111852009999993</v>
      </c>
    </row>
    <row r="241" spans="1:19" x14ac:dyDescent="0.3">
      <c r="A241">
        <v>11339886</v>
      </c>
      <c r="B241">
        <f t="shared" si="40"/>
        <v>0.09</v>
      </c>
      <c r="C241">
        <f t="shared" si="41"/>
        <v>21.699000000000002</v>
      </c>
      <c r="D241">
        <v>-0.82</v>
      </c>
      <c r="E241">
        <v>0.16</v>
      </c>
      <c r="F241">
        <v>-0.53</v>
      </c>
      <c r="G241">
        <f t="shared" si="42"/>
        <v>0</v>
      </c>
      <c r="H241">
        <f t="shared" si="43"/>
        <v>1.0000000000000009E-2</v>
      </c>
      <c r="I241">
        <f t="shared" si="44"/>
        <v>1.0000000000000009E-2</v>
      </c>
      <c r="J241">
        <f t="shared" si="36"/>
        <v>0</v>
      </c>
      <c r="K241">
        <f t="shared" si="37"/>
        <v>0</v>
      </c>
      <c r="L241">
        <f t="shared" si="38"/>
        <v>0</v>
      </c>
      <c r="M241">
        <f t="shared" si="45"/>
        <v>-6.1804545075000002E-2</v>
      </c>
      <c r="N241">
        <f t="shared" si="46"/>
        <v>0</v>
      </c>
      <c r="O241">
        <f t="shared" si="47"/>
        <v>-0.44111852009999991</v>
      </c>
      <c r="P241">
        <v>43.33</v>
      </c>
      <c r="R241">
        <v>21.699000000000002</v>
      </c>
      <c r="S241">
        <f t="shared" si="39"/>
        <v>44.111852009999993</v>
      </c>
    </row>
    <row r="242" spans="1:19" x14ac:dyDescent="0.3">
      <c r="A242">
        <v>11339977</v>
      </c>
      <c r="B242">
        <f t="shared" si="40"/>
        <v>9.0999999999999998E-2</v>
      </c>
      <c r="C242">
        <f t="shared" si="41"/>
        <v>21.79</v>
      </c>
      <c r="D242">
        <v>-0.82</v>
      </c>
      <c r="E242">
        <v>0.15</v>
      </c>
      <c r="F242">
        <v>-0.53</v>
      </c>
      <c r="G242">
        <f t="shared" si="42"/>
        <v>0</v>
      </c>
      <c r="H242">
        <f t="shared" si="43"/>
        <v>1.0000000000000009E-2</v>
      </c>
      <c r="I242">
        <f t="shared" si="44"/>
        <v>0</v>
      </c>
      <c r="J242">
        <f t="shared" si="36"/>
        <v>0</v>
      </c>
      <c r="K242">
        <f t="shared" si="37"/>
        <v>0</v>
      </c>
      <c r="L242">
        <f t="shared" si="38"/>
        <v>0</v>
      </c>
      <c r="M242">
        <f t="shared" si="45"/>
        <v>-6.1804545075000002E-2</v>
      </c>
      <c r="N242">
        <f t="shared" si="46"/>
        <v>0</v>
      </c>
      <c r="O242">
        <f t="shared" si="47"/>
        <v>-0.44111852009999991</v>
      </c>
      <c r="P242">
        <v>43.33</v>
      </c>
      <c r="R242">
        <v>21.79</v>
      </c>
      <c r="S242">
        <f t="shared" si="39"/>
        <v>44.111852009999993</v>
      </c>
    </row>
    <row r="243" spans="1:19" x14ac:dyDescent="0.3">
      <c r="A243">
        <v>11340068</v>
      </c>
      <c r="B243">
        <f t="shared" si="40"/>
        <v>9.0999999999999998E-2</v>
      </c>
      <c r="C243">
        <f t="shared" si="41"/>
        <v>21.881</v>
      </c>
      <c r="D243">
        <v>-0.81</v>
      </c>
      <c r="E243">
        <v>0.16</v>
      </c>
      <c r="F243">
        <v>-0.53</v>
      </c>
      <c r="G243">
        <f t="shared" si="42"/>
        <v>9.9999999999998979E-3</v>
      </c>
      <c r="H243">
        <f t="shared" si="43"/>
        <v>1.0000000000000009E-2</v>
      </c>
      <c r="I243">
        <f t="shared" si="44"/>
        <v>0</v>
      </c>
      <c r="J243">
        <f t="shared" si="36"/>
        <v>0</v>
      </c>
      <c r="K243">
        <f t="shared" si="37"/>
        <v>0</v>
      </c>
      <c r="L243">
        <f t="shared" si="38"/>
        <v>0</v>
      </c>
      <c r="M243">
        <f t="shared" si="45"/>
        <v>-6.1804545075000002E-2</v>
      </c>
      <c r="N243">
        <f t="shared" si="46"/>
        <v>0</v>
      </c>
      <c r="O243">
        <f t="shared" si="47"/>
        <v>-0.44111852009999991</v>
      </c>
      <c r="P243">
        <v>43.33</v>
      </c>
      <c r="R243">
        <v>21.881</v>
      </c>
      <c r="S243">
        <f t="shared" si="39"/>
        <v>44.111852009999993</v>
      </c>
    </row>
    <row r="244" spans="1:19" x14ac:dyDescent="0.3">
      <c r="A244">
        <v>11340158</v>
      </c>
      <c r="B244">
        <f t="shared" si="40"/>
        <v>0.09</v>
      </c>
      <c r="C244">
        <f t="shared" si="41"/>
        <v>21.971</v>
      </c>
      <c r="D244">
        <v>-0.82</v>
      </c>
      <c r="E244">
        <v>0.15</v>
      </c>
      <c r="F244">
        <v>-0.52</v>
      </c>
      <c r="G244">
        <f t="shared" si="42"/>
        <v>9.9999999999998979E-3</v>
      </c>
      <c r="H244">
        <f t="shared" si="43"/>
        <v>1.0000000000000009E-2</v>
      </c>
      <c r="I244">
        <f t="shared" si="44"/>
        <v>1.0000000000000009E-2</v>
      </c>
      <c r="J244">
        <f t="shared" si="36"/>
        <v>0</v>
      </c>
      <c r="K244">
        <f t="shared" si="37"/>
        <v>0</v>
      </c>
      <c r="L244">
        <f t="shared" si="38"/>
        <v>0</v>
      </c>
      <c r="M244">
        <f t="shared" si="45"/>
        <v>-6.1804545075000002E-2</v>
      </c>
      <c r="N244">
        <f t="shared" si="46"/>
        <v>0</v>
      </c>
      <c r="O244">
        <f t="shared" si="47"/>
        <v>-0.44111852009999991</v>
      </c>
      <c r="P244">
        <v>43.33</v>
      </c>
      <c r="R244">
        <v>21.971</v>
      </c>
      <c r="S244">
        <f t="shared" si="39"/>
        <v>44.111852009999993</v>
      </c>
    </row>
    <row r="245" spans="1:19" x14ac:dyDescent="0.3">
      <c r="A245">
        <v>11340250</v>
      </c>
      <c r="B245">
        <f t="shared" si="40"/>
        <v>9.1999999999999998E-2</v>
      </c>
      <c r="C245">
        <f t="shared" si="41"/>
        <v>22.062999999999999</v>
      </c>
      <c r="D245">
        <v>-0.82</v>
      </c>
      <c r="E245">
        <v>0.16</v>
      </c>
      <c r="F245">
        <v>-0.52</v>
      </c>
      <c r="G245">
        <f t="shared" si="42"/>
        <v>0</v>
      </c>
      <c r="H245">
        <f t="shared" si="43"/>
        <v>1.0000000000000009E-2</v>
      </c>
      <c r="I245">
        <f t="shared" si="44"/>
        <v>0</v>
      </c>
      <c r="J245">
        <f t="shared" si="36"/>
        <v>0</v>
      </c>
      <c r="K245">
        <f t="shared" si="37"/>
        <v>0</v>
      </c>
      <c r="L245">
        <f t="shared" si="38"/>
        <v>0</v>
      </c>
      <c r="M245">
        <f t="shared" si="45"/>
        <v>-6.1804545075000002E-2</v>
      </c>
      <c r="N245">
        <f t="shared" si="46"/>
        <v>0</v>
      </c>
      <c r="O245">
        <f t="shared" si="47"/>
        <v>-0.44111852009999991</v>
      </c>
      <c r="P245">
        <v>43.120000000000005</v>
      </c>
      <c r="R245">
        <v>22.062999999999999</v>
      </c>
      <c r="S245">
        <f t="shared" si="39"/>
        <v>44.111852009999993</v>
      </c>
    </row>
    <row r="246" spans="1:19" x14ac:dyDescent="0.3">
      <c r="A246">
        <v>11340341</v>
      </c>
      <c r="B246">
        <f t="shared" si="40"/>
        <v>9.0999999999999998E-2</v>
      </c>
      <c r="C246">
        <f t="shared" si="41"/>
        <v>22.154</v>
      </c>
      <c r="D246">
        <v>-0.82</v>
      </c>
      <c r="E246">
        <v>0.15</v>
      </c>
      <c r="F246">
        <v>-0.53</v>
      </c>
      <c r="G246">
        <f t="shared" si="42"/>
        <v>0</v>
      </c>
      <c r="H246">
        <f t="shared" si="43"/>
        <v>1.0000000000000009E-2</v>
      </c>
      <c r="I246">
        <f t="shared" si="44"/>
        <v>1.0000000000000009E-2</v>
      </c>
      <c r="J246">
        <f t="shared" si="36"/>
        <v>0</v>
      </c>
      <c r="K246">
        <f t="shared" si="37"/>
        <v>0</v>
      </c>
      <c r="L246">
        <f t="shared" si="38"/>
        <v>0</v>
      </c>
      <c r="M246">
        <f t="shared" si="45"/>
        <v>-6.1804545075000002E-2</v>
      </c>
      <c r="N246">
        <f t="shared" si="46"/>
        <v>0</v>
      </c>
      <c r="O246">
        <f t="shared" si="47"/>
        <v>-0.44111852009999991</v>
      </c>
      <c r="P246">
        <v>43.540000000000006</v>
      </c>
      <c r="R246">
        <v>22.154</v>
      </c>
      <c r="S246">
        <f t="shared" si="39"/>
        <v>44.111852009999993</v>
      </c>
    </row>
    <row r="247" spans="1:19" x14ac:dyDescent="0.3">
      <c r="A247">
        <v>11340431</v>
      </c>
      <c r="B247">
        <f t="shared" si="40"/>
        <v>0.09</v>
      </c>
      <c r="C247">
        <f t="shared" si="41"/>
        <v>22.244</v>
      </c>
      <c r="D247">
        <v>-0.82</v>
      </c>
      <c r="E247">
        <v>0.16</v>
      </c>
      <c r="F247">
        <v>-0.52</v>
      </c>
      <c r="G247">
        <f t="shared" si="42"/>
        <v>0</v>
      </c>
      <c r="H247">
        <f t="shared" si="43"/>
        <v>1.0000000000000009E-2</v>
      </c>
      <c r="I247">
        <f t="shared" si="44"/>
        <v>1.0000000000000009E-2</v>
      </c>
      <c r="J247">
        <f t="shared" si="36"/>
        <v>0</v>
      </c>
      <c r="K247">
        <f t="shared" si="37"/>
        <v>0</v>
      </c>
      <c r="L247">
        <f t="shared" si="38"/>
        <v>0</v>
      </c>
      <c r="M247">
        <f t="shared" si="45"/>
        <v>-6.1804545075000002E-2</v>
      </c>
      <c r="N247">
        <f t="shared" si="46"/>
        <v>0</v>
      </c>
      <c r="O247">
        <f t="shared" si="47"/>
        <v>-0.44111852009999991</v>
      </c>
      <c r="P247">
        <v>43.120000000000005</v>
      </c>
      <c r="R247">
        <v>22.244</v>
      </c>
      <c r="S247">
        <f t="shared" si="39"/>
        <v>44.111852009999993</v>
      </c>
    </row>
    <row r="248" spans="1:19" x14ac:dyDescent="0.3">
      <c r="A248">
        <v>11340522</v>
      </c>
      <c r="B248">
        <f t="shared" si="40"/>
        <v>9.0999999999999998E-2</v>
      </c>
      <c r="C248">
        <f t="shared" si="41"/>
        <v>22.335000000000001</v>
      </c>
      <c r="D248">
        <v>-0.82</v>
      </c>
      <c r="E248">
        <v>0.16</v>
      </c>
      <c r="F248">
        <v>-0.53</v>
      </c>
      <c r="G248">
        <f t="shared" si="42"/>
        <v>0</v>
      </c>
      <c r="H248">
        <f t="shared" si="43"/>
        <v>0</v>
      </c>
      <c r="I248">
        <f t="shared" si="44"/>
        <v>1.0000000000000009E-2</v>
      </c>
      <c r="J248">
        <f t="shared" si="36"/>
        <v>0</v>
      </c>
      <c r="K248">
        <f t="shared" si="37"/>
        <v>0</v>
      </c>
      <c r="L248">
        <f t="shared" si="38"/>
        <v>0</v>
      </c>
      <c r="M248">
        <f t="shared" si="45"/>
        <v>-6.1804545075000002E-2</v>
      </c>
      <c r="N248">
        <f t="shared" si="46"/>
        <v>0</v>
      </c>
      <c r="O248">
        <f t="shared" si="47"/>
        <v>-0.44111852009999991</v>
      </c>
      <c r="P248">
        <v>43.120000000000005</v>
      </c>
      <c r="R248">
        <v>22.335000000000001</v>
      </c>
      <c r="S248">
        <f t="shared" si="39"/>
        <v>44.111852009999993</v>
      </c>
    </row>
    <row r="249" spans="1:19" x14ac:dyDescent="0.3">
      <c r="A249">
        <v>11340613</v>
      </c>
      <c r="B249">
        <f t="shared" si="40"/>
        <v>9.0999999999999998E-2</v>
      </c>
      <c r="C249">
        <f t="shared" si="41"/>
        <v>22.425999999999998</v>
      </c>
      <c r="D249">
        <v>-0.82</v>
      </c>
      <c r="E249">
        <v>0.15</v>
      </c>
      <c r="F249">
        <v>-0.53</v>
      </c>
      <c r="G249">
        <f t="shared" si="42"/>
        <v>0</v>
      </c>
      <c r="H249">
        <f t="shared" si="43"/>
        <v>1.0000000000000009E-2</v>
      </c>
      <c r="I249">
        <f t="shared" si="44"/>
        <v>0</v>
      </c>
      <c r="J249">
        <f t="shared" si="36"/>
        <v>0</v>
      </c>
      <c r="K249">
        <f t="shared" si="37"/>
        <v>0</v>
      </c>
      <c r="L249">
        <f t="shared" si="38"/>
        <v>0</v>
      </c>
      <c r="M249">
        <f t="shared" si="45"/>
        <v>-6.1804545075000002E-2</v>
      </c>
      <c r="N249">
        <f t="shared" si="46"/>
        <v>0</v>
      </c>
      <c r="O249">
        <f t="shared" si="47"/>
        <v>-0.44111852009999991</v>
      </c>
      <c r="P249">
        <v>43.75</v>
      </c>
      <c r="R249">
        <v>22.425999999999998</v>
      </c>
      <c r="S249">
        <f t="shared" si="39"/>
        <v>44.111852009999993</v>
      </c>
    </row>
    <row r="250" spans="1:19" x14ac:dyDescent="0.3">
      <c r="A250">
        <v>11340703</v>
      </c>
      <c r="B250">
        <f t="shared" si="40"/>
        <v>0.09</v>
      </c>
      <c r="C250">
        <f t="shared" si="41"/>
        <v>22.515999999999998</v>
      </c>
      <c r="D250">
        <v>-0.82</v>
      </c>
      <c r="E250">
        <v>0.16</v>
      </c>
      <c r="F250">
        <v>-0.52</v>
      </c>
      <c r="G250">
        <f t="shared" si="42"/>
        <v>0</v>
      </c>
      <c r="H250">
        <f t="shared" si="43"/>
        <v>1.0000000000000009E-2</v>
      </c>
      <c r="I250">
        <f t="shared" si="44"/>
        <v>1.0000000000000009E-2</v>
      </c>
      <c r="J250">
        <f t="shared" si="36"/>
        <v>0</v>
      </c>
      <c r="K250">
        <f t="shared" si="37"/>
        <v>0</v>
      </c>
      <c r="L250">
        <f t="shared" si="38"/>
        <v>0</v>
      </c>
      <c r="M250">
        <f t="shared" si="45"/>
        <v>-6.1804545075000002E-2</v>
      </c>
      <c r="N250">
        <f t="shared" si="46"/>
        <v>0</v>
      </c>
      <c r="O250">
        <f t="shared" si="47"/>
        <v>-0.44111852009999991</v>
      </c>
      <c r="P250">
        <v>43.33</v>
      </c>
      <c r="R250">
        <v>22.515999999999998</v>
      </c>
      <c r="S250">
        <f t="shared" si="39"/>
        <v>44.111852009999993</v>
      </c>
    </row>
    <row r="251" spans="1:19" x14ac:dyDescent="0.3">
      <c r="A251">
        <v>11340794</v>
      </c>
      <c r="B251">
        <f t="shared" si="40"/>
        <v>9.0999999999999998E-2</v>
      </c>
      <c r="C251">
        <f t="shared" si="41"/>
        <v>22.606999999999999</v>
      </c>
      <c r="D251">
        <v>-0.82</v>
      </c>
      <c r="E251">
        <v>0.16</v>
      </c>
      <c r="F251">
        <v>-0.52</v>
      </c>
      <c r="G251">
        <f t="shared" si="42"/>
        <v>0</v>
      </c>
      <c r="H251">
        <f t="shared" si="43"/>
        <v>0</v>
      </c>
      <c r="I251">
        <f t="shared" si="44"/>
        <v>0</v>
      </c>
      <c r="J251">
        <f t="shared" si="36"/>
        <v>0</v>
      </c>
      <c r="K251">
        <f t="shared" si="37"/>
        <v>0</v>
      </c>
      <c r="L251">
        <f t="shared" si="38"/>
        <v>0</v>
      </c>
      <c r="M251">
        <f t="shared" si="45"/>
        <v>-6.1804545075000002E-2</v>
      </c>
      <c r="N251">
        <f t="shared" si="46"/>
        <v>0</v>
      </c>
      <c r="O251">
        <f t="shared" si="47"/>
        <v>-0.44111852009999991</v>
      </c>
      <c r="P251">
        <v>43.33</v>
      </c>
      <c r="R251">
        <v>22.606999999999999</v>
      </c>
      <c r="S251">
        <f t="shared" si="39"/>
        <v>44.111852009999993</v>
      </c>
    </row>
    <row r="252" spans="1:19" x14ac:dyDescent="0.3">
      <c r="A252">
        <v>11340886</v>
      </c>
      <c r="B252">
        <f t="shared" si="40"/>
        <v>9.1999999999999998E-2</v>
      </c>
      <c r="C252">
        <f t="shared" si="41"/>
        <v>22.699000000000002</v>
      </c>
      <c r="D252">
        <v>-0.83</v>
      </c>
      <c r="E252">
        <v>0.16</v>
      </c>
      <c r="F252">
        <v>-0.53</v>
      </c>
      <c r="G252">
        <f t="shared" si="42"/>
        <v>1.0000000000000009E-2</v>
      </c>
      <c r="H252">
        <f t="shared" si="43"/>
        <v>0</v>
      </c>
      <c r="I252">
        <f t="shared" si="44"/>
        <v>1.0000000000000009E-2</v>
      </c>
      <c r="J252">
        <f t="shared" si="36"/>
        <v>0</v>
      </c>
      <c r="K252">
        <f t="shared" si="37"/>
        <v>0</v>
      </c>
      <c r="L252">
        <f t="shared" si="38"/>
        <v>0</v>
      </c>
      <c r="M252">
        <f t="shared" si="45"/>
        <v>-6.1804545075000002E-2</v>
      </c>
      <c r="N252">
        <f t="shared" si="46"/>
        <v>0</v>
      </c>
      <c r="O252">
        <f t="shared" si="47"/>
        <v>-0.44111852009999991</v>
      </c>
      <c r="P252">
        <v>43.120000000000005</v>
      </c>
      <c r="R252">
        <v>22.699000000000002</v>
      </c>
      <c r="S252">
        <f t="shared" si="39"/>
        <v>44.111852009999993</v>
      </c>
    </row>
    <row r="253" spans="1:19" x14ac:dyDescent="0.3">
      <c r="A253">
        <v>11340976</v>
      </c>
      <c r="B253">
        <f t="shared" si="40"/>
        <v>0.09</v>
      </c>
      <c r="C253">
        <f t="shared" si="41"/>
        <v>22.789000000000001</v>
      </c>
      <c r="D253">
        <v>-0.82</v>
      </c>
      <c r="E253">
        <v>0.16</v>
      </c>
      <c r="F253">
        <v>-0.53</v>
      </c>
      <c r="G253">
        <f t="shared" si="42"/>
        <v>1.0000000000000009E-2</v>
      </c>
      <c r="H253">
        <f t="shared" si="43"/>
        <v>0</v>
      </c>
      <c r="I253">
        <f t="shared" si="44"/>
        <v>0</v>
      </c>
      <c r="J253">
        <f t="shared" si="36"/>
        <v>0</v>
      </c>
      <c r="K253">
        <f t="shared" si="37"/>
        <v>0</v>
      </c>
      <c r="L253">
        <f t="shared" si="38"/>
        <v>0</v>
      </c>
      <c r="M253">
        <f t="shared" si="45"/>
        <v>-6.1804545075000002E-2</v>
      </c>
      <c r="N253">
        <f t="shared" si="46"/>
        <v>0</v>
      </c>
      <c r="O253">
        <f t="shared" si="47"/>
        <v>-0.44111852009999991</v>
      </c>
      <c r="P253">
        <v>43.120000000000005</v>
      </c>
      <c r="R253">
        <v>22.789000000000001</v>
      </c>
      <c r="S253">
        <f t="shared" si="39"/>
        <v>44.111852009999993</v>
      </c>
    </row>
    <row r="254" spans="1:19" x14ac:dyDescent="0.3">
      <c r="A254">
        <v>11341067</v>
      </c>
      <c r="B254">
        <f t="shared" si="40"/>
        <v>9.0999999999999998E-2</v>
      </c>
      <c r="C254">
        <f t="shared" si="41"/>
        <v>22.88</v>
      </c>
      <c r="D254">
        <v>-0.82</v>
      </c>
      <c r="E254">
        <v>0.15</v>
      </c>
      <c r="F254">
        <v>-0.53</v>
      </c>
      <c r="G254">
        <f t="shared" si="42"/>
        <v>0</v>
      </c>
      <c r="H254">
        <f t="shared" si="43"/>
        <v>1.0000000000000009E-2</v>
      </c>
      <c r="I254">
        <f t="shared" si="44"/>
        <v>0</v>
      </c>
      <c r="J254">
        <f t="shared" si="36"/>
        <v>0</v>
      </c>
      <c r="K254">
        <f t="shared" si="37"/>
        <v>0</v>
      </c>
      <c r="L254">
        <f t="shared" si="38"/>
        <v>0</v>
      </c>
      <c r="M254">
        <f t="shared" si="45"/>
        <v>-6.1804545075000002E-2</v>
      </c>
      <c r="N254">
        <f t="shared" si="46"/>
        <v>0</v>
      </c>
      <c r="O254">
        <f t="shared" si="47"/>
        <v>-0.44111852009999991</v>
      </c>
      <c r="P254">
        <v>43.33</v>
      </c>
      <c r="R254">
        <v>22.88</v>
      </c>
      <c r="S254">
        <f t="shared" si="39"/>
        <v>44.111852009999993</v>
      </c>
    </row>
    <row r="255" spans="1:19" x14ac:dyDescent="0.3">
      <c r="A255">
        <v>11341158</v>
      </c>
      <c r="B255">
        <f t="shared" si="40"/>
        <v>9.0999999999999998E-2</v>
      </c>
      <c r="C255">
        <f t="shared" si="41"/>
        <v>22.971</v>
      </c>
      <c r="D255">
        <v>-0.82</v>
      </c>
      <c r="E255">
        <v>0.15</v>
      </c>
      <c r="F255">
        <v>-0.52</v>
      </c>
      <c r="G255">
        <f t="shared" si="42"/>
        <v>0</v>
      </c>
      <c r="H255">
        <f t="shared" si="43"/>
        <v>0</v>
      </c>
      <c r="I255">
        <f t="shared" si="44"/>
        <v>1.0000000000000009E-2</v>
      </c>
      <c r="J255">
        <f t="shared" si="36"/>
        <v>0</v>
      </c>
      <c r="K255">
        <f t="shared" si="37"/>
        <v>0</v>
      </c>
      <c r="L255">
        <f t="shared" si="38"/>
        <v>0</v>
      </c>
      <c r="M255">
        <f t="shared" si="45"/>
        <v>-6.1804545075000002E-2</v>
      </c>
      <c r="N255">
        <f t="shared" si="46"/>
        <v>0</v>
      </c>
      <c r="O255">
        <f t="shared" si="47"/>
        <v>-0.44111852009999991</v>
      </c>
      <c r="P255">
        <v>43.120000000000005</v>
      </c>
      <c r="R255">
        <v>22.971</v>
      </c>
      <c r="S255">
        <f t="shared" si="39"/>
        <v>44.111852009999993</v>
      </c>
    </row>
    <row r="256" spans="1:19" x14ac:dyDescent="0.3">
      <c r="A256">
        <v>11341248</v>
      </c>
      <c r="B256">
        <f t="shared" si="40"/>
        <v>0.09</v>
      </c>
      <c r="C256">
        <f t="shared" si="41"/>
        <v>23.061</v>
      </c>
      <c r="D256">
        <v>-0.83</v>
      </c>
      <c r="E256">
        <v>0.16</v>
      </c>
      <c r="F256">
        <v>-0.52</v>
      </c>
      <c r="G256">
        <f t="shared" si="42"/>
        <v>1.0000000000000009E-2</v>
      </c>
      <c r="H256">
        <f t="shared" si="43"/>
        <v>1.0000000000000009E-2</v>
      </c>
      <c r="I256">
        <f t="shared" si="44"/>
        <v>0</v>
      </c>
      <c r="J256">
        <f t="shared" si="36"/>
        <v>0</v>
      </c>
      <c r="K256">
        <f t="shared" si="37"/>
        <v>0</v>
      </c>
      <c r="L256">
        <f t="shared" si="38"/>
        <v>0</v>
      </c>
      <c r="M256">
        <f t="shared" si="45"/>
        <v>-6.1804545075000002E-2</v>
      </c>
      <c r="N256">
        <f t="shared" si="46"/>
        <v>0</v>
      </c>
      <c r="O256">
        <f t="shared" si="47"/>
        <v>-0.44111852009999991</v>
      </c>
      <c r="P256">
        <v>43.33</v>
      </c>
      <c r="R256">
        <v>23.061</v>
      </c>
      <c r="S256">
        <f t="shared" si="39"/>
        <v>44.111852009999993</v>
      </c>
    </row>
    <row r="257" spans="1:19" x14ac:dyDescent="0.3">
      <c r="A257">
        <v>11341339</v>
      </c>
      <c r="B257">
        <f t="shared" si="40"/>
        <v>9.0999999999999998E-2</v>
      </c>
      <c r="C257">
        <f t="shared" si="41"/>
        <v>23.152000000000001</v>
      </c>
      <c r="D257">
        <v>-0.82</v>
      </c>
      <c r="E257">
        <v>0.15</v>
      </c>
      <c r="F257">
        <v>-0.52</v>
      </c>
      <c r="G257">
        <f t="shared" si="42"/>
        <v>1.0000000000000009E-2</v>
      </c>
      <c r="H257">
        <f t="shared" si="43"/>
        <v>1.0000000000000009E-2</v>
      </c>
      <c r="I257">
        <f t="shared" si="44"/>
        <v>0</v>
      </c>
      <c r="J257">
        <f t="shared" si="36"/>
        <v>0</v>
      </c>
      <c r="K257">
        <f t="shared" si="37"/>
        <v>0</v>
      </c>
      <c r="L257">
        <f t="shared" si="38"/>
        <v>0</v>
      </c>
      <c r="M257">
        <f t="shared" si="45"/>
        <v>-6.1804545075000002E-2</v>
      </c>
      <c r="N257">
        <f t="shared" si="46"/>
        <v>0</v>
      </c>
      <c r="O257">
        <f t="shared" si="47"/>
        <v>-0.44111852009999991</v>
      </c>
      <c r="P257">
        <v>43.120000000000005</v>
      </c>
      <c r="R257">
        <v>23.152000000000001</v>
      </c>
      <c r="S257">
        <f t="shared" si="39"/>
        <v>44.111852009999993</v>
      </c>
    </row>
    <row r="258" spans="1:19" x14ac:dyDescent="0.3">
      <c r="A258">
        <v>11341430</v>
      </c>
      <c r="B258">
        <f t="shared" si="40"/>
        <v>9.0999999999999998E-2</v>
      </c>
      <c r="C258">
        <f t="shared" si="41"/>
        <v>23.242999999999999</v>
      </c>
      <c r="D258">
        <v>-0.82</v>
      </c>
      <c r="E258">
        <v>0.16</v>
      </c>
      <c r="F258">
        <v>-0.52</v>
      </c>
      <c r="G258">
        <f t="shared" si="42"/>
        <v>0</v>
      </c>
      <c r="H258">
        <f t="shared" si="43"/>
        <v>1.0000000000000009E-2</v>
      </c>
      <c r="I258">
        <f t="shared" si="44"/>
        <v>0</v>
      </c>
      <c r="J258">
        <f t="shared" si="36"/>
        <v>0</v>
      </c>
      <c r="K258">
        <f t="shared" si="37"/>
        <v>0</v>
      </c>
      <c r="L258">
        <f t="shared" si="38"/>
        <v>0</v>
      </c>
      <c r="M258">
        <f t="shared" si="45"/>
        <v>-6.1804545075000002E-2</v>
      </c>
      <c r="N258">
        <f t="shared" si="46"/>
        <v>0</v>
      </c>
      <c r="O258">
        <f t="shared" si="47"/>
        <v>-0.44111852009999991</v>
      </c>
      <c r="P258">
        <v>43.120000000000005</v>
      </c>
      <c r="R258">
        <v>23.242999999999999</v>
      </c>
      <c r="S258">
        <f t="shared" si="39"/>
        <v>44.111852009999993</v>
      </c>
    </row>
    <row r="259" spans="1:19" x14ac:dyDescent="0.3">
      <c r="A259">
        <v>11341520</v>
      </c>
      <c r="B259">
        <f t="shared" si="40"/>
        <v>0.09</v>
      </c>
      <c r="C259">
        <f t="shared" si="41"/>
        <v>23.332999999999998</v>
      </c>
      <c r="D259">
        <v>-0.82</v>
      </c>
      <c r="E259">
        <v>0.16</v>
      </c>
      <c r="F259">
        <v>-0.52</v>
      </c>
      <c r="G259">
        <f t="shared" si="42"/>
        <v>0</v>
      </c>
      <c r="H259">
        <f t="shared" si="43"/>
        <v>0</v>
      </c>
      <c r="I259">
        <f t="shared" si="44"/>
        <v>0</v>
      </c>
      <c r="J259">
        <f t="shared" ref="J259:J293" si="48">IF(ABS(D259-D258) &gt; $Q$2, 1/2*(D259+D258)*9.81*B259 + J258, 0)</f>
        <v>0</v>
      </c>
      <c r="K259">
        <f t="shared" ref="K259:K293" si="49">IF(ABS(E259-E258) &gt; $Q$2, 1/2*(E259+E258)*9.81*B259 + K258, 0)</f>
        <v>0</v>
      </c>
      <c r="L259">
        <f t="shared" ref="L259:L293" si="50">IF(ABS(F259-F258) &gt; $Q$2, 1/2*(F259+F258)*9.81*B259 + L258, 0)</f>
        <v>0</v>
      </c>
      <c r="M259">
        <f t="shared" si="45"/>
        <v>-6.1804545075000002E-2</v>
      </c>
      <c r="N259">
        <f t="shared" si="46"/>
        <v>0</v>
      </c>
      <c r="O259">
        <f t="shared" si="47"/>
        <v>-0.44111852009999991</v>
      </c>
      <c r="P259">
        <v>43.33</v>
      </c>
      <c r="R259">
        <v>23.332999999999998</v>
      </c>
      <c r="S259">
        <f t="shared" ref="S259:S293" si="51">SQRT(O259*O259)*100</f>
        <v>44.111852009999993</v>
      </c>
    </row>
    <row r="260" spans="1:19" x14ac:dyDescent="0.3">
      <c r="A260">
        <v>11341612</v>
      </c>
      <c r="B260">
        <f t="shared" ref="B260:B293" si="52">(A260-A259)/1000</f>
        <v>9.1999999999999998E-2</v>
      </c>
      <c r="C260">
        <f t="shared" ref="C260:C293" si="53">(A260-$A$2)/1000</f>
        <v>23.425000000000001</v>
      </c>
      <c r="D260">
        <v>-0.82</v>
      </c>
      <c r="E260">
        <v>0.16</v>
      </c>
      <c r="F260">
        <v>-0.53</v>
      </c>
      <c r="G260">
        <f t="shared" ref="G260:G293" si="54">ABS(D260-D259)</f>
        <v>0</v>
      </c>
      <c r="H260">
        <f t="shared" ref="H260:H293" si="55">ABS(E260-E259)</f>
        <v>0</v>
      </c>
      <c r="I260">
        <f t="shared" ref="I260:I293" si="56">ABS(F260-F259)</f>
        <v>1.0000000000000009E-2</v>
      </c>
      <c r="J260">
        <f t="shared" si="48"/>
        <v>0</v>
      </c>
      <c r="K260">
        <f t="shared" si="49"/>
        <v>0</v>
      </c>
      <c r="L260">
        <f t="shared" si="50"/>
        <v>0</v>
      </c>
      <c r="M260">
        <f t="shared" ref="M260:M293" si="57">1/2*(J260+J259)*B260 + M259</f>
        <v>-6.1804545075000002E-2</v>
      </c>
      <c r="N260">
        <f t="shared" ref="N260:N293" si="58">1/2*(K260+K259)*B260 + N259</f>
        <v>0</v>
      </c>
      <c r="O260">
        <f t="shared" ref="O260:O293" si="59">1/2*(L260+L259)*B260 + O259</f>
        <v>-0.44111852009999991</v>
      </c>
      <c r="P260">
        <v>43.540000000000006</v>
      </c>
      <c r="R260">
        <v>23.425000000000001</v>
      </c>
      <c r="S260">
        <f t="shared" si="51"/>
        <v>44.111852009999993</v>
      </c>
    </row>
    <row r="261" spans="1:19" x14ac:dyDescent="0.3">
      <c r="A261">
        <v>11341703</v>
      </c>
      <c r="B261">
        <f t="shared" si="52"/>
        <v>9.0999999999999998E-2</v>
      </c>
      <c r="C261">
        <f t="shared" si="53"/>
        <v>23.515999999999998</v>
      </c>
      <c r="D261">
        <v>-0.82</v>
      </c>
      <c r="E261">
        <v>0.16</v>
      </c>
      <c r="F261">
        <v>-0.53</v>
      </c>
      <c r="G261">
        <f t="shared" si="54"/>
        <v>0</v>
      </c>
      <c r="H261">
        <f t="shared" si="55"/>
        <v>0</v>
      </c>
      <c r="I261">
        <f t="shared" si="56"/>
        <v>0</v>
      </c>
      <c r="J261">
        <f t="shared" si="48"/>
        <v>0</v>
      </c>
      <c r="K261">
        <f t="shared" si="49"/>
        <v>0</v>
      </c>
      <c r="L261">
        <f t="shared" si="50"/>
        <v>0</v>
      </c>
      <c r="M261">
        <f t="shared" si="57"/>
        <v>-6.1804545075000002E-2</v>
      </c>
      <c r="N261">
        <f t="shared" si="58"/>
        <v>0</v>
      </c>
      <c r="O261">
        <f t="shared" si="59"/>
        <v>-0.44111852009999991</v>
      </c>
      <c r="P261">
        <v>43.120000000000005</v>
      </c>
      <c r="R261">
        <v>23.515999999999998</v>
      </c>
      <c r="S261">
        <f t="shared" si="51"/>
        <v>44.111852009999993</v>
      </c>
    </row>
    <row r="262" spans="1:19" x14ac:dyDescent="0.3">
      <c r="A262">
        <v>11341793</v>
      </c>
      <c r="B262">
        <f t="shared" si="52"/>
        <v>0.09</v>
      </c>
      <c r="C262">
        <f t="shared" si="53"/>
        <v>23.606000000000002</v>
      </c>
      <c r="D262">
        <v>-0.82</v>
      </c>
      <c r="E262">
        <v>0.16</v>
      </c>
      <c r="F262">
        <v>-0.52</v>
      </c>
      <c r="G262">
        <f t="shared" si="54"/>
        <v>0</v>
      </c>
      <c r="H262">
        <f t="shared" si="55"/>
        <v>0</v>
      </c>
      <c r="I262">
        <f t="shared" si="56"/>
        <v>1.0000000000000009E-2</v>
      </c>
      <c r="J262">
        <f t="shared" si="48"/>
        <v>0</v>
      </c>
      <c r="K262">
        <f t="shared" si="49"/>
        <v>0</v>
      </c>
      <c r="L262">
        <f t="shared" si="50"/>
        <v>0</v>
      </c>
      <c r="M262">
        <f t="shared" si="57"/>
        <v>-6.1804545075000002E-2</v>
      </c>
      <c r="N262">
        <f t="shared" si="58"/>
        <v>0</v>
      </c>
      <c r="O262">
        <f t="shared" si="59"/>
        <v>-0.44111852009999991</v>
      </c>
      <c r="P262">
        <v>43.33</v>
      </c>
      <c r="R262">
        <v>23.606000000000002</v>
      </c>
      <c r="S262">
        <f t="shared" si="51"/>
        <v>44.111852009999993</v>
      </c>
    </row>
    <row r="263" spans="1:19" x14ac:dyDescent="0.3">
      <c r="A263">
        <v>11341884</v>
      </c>
      <c r="B263">
        <f t="shared" si="52"/>
        <v>9.0999999999999998E-2</v>
      </c>
      <c r="C263">
        <f t="shared" si="53"/>
        <v>23.696999999999999</v>
      </c>
      <c r="D263">
        <v>-0.82</v>
      </c>
      <c r="E263">
        <v>0.16</v>
      </c>
      <c r="F263">
        <v>-0.52</v>
      </c>
      <c r="G263">
        <f t="shared" si="54"/>
        <v>0</v>
      </c>
      <c r="H263">
        <f t="shared" si="55"/>
        <v>0</v>
      </c>
      <c r="I263">
        <f t="shared" si="56"/>
        <v>0</v>
      </c>
      <c r="J263">
        <f t="shared" si="48"/>
        <v>0</v>
      </c>
      <c r="K263">
        <f t="shared" si="49"/>
        <v>0</v>
      </c>
      <c r="L263">
        <f t="shared" si="50"/>
        <v>0</v>
      </c>
      <c r="M263">
        <f t="shared" si="57"/>
        <v>-6.1804545075000002E-2</v>
      </c>
      <c r="N263">
        <f t="shared" si="58"/>
        <v>0</v>
      </c>
      <c r="O263">
        <f t="shared" si="59"/>
        <v>-0.44111852009999991</v>
      </c>
      <c r="P263">
        <v>43.33</v>
      </c>
      <c r="R263">
        <v>23.696999999999999</v>
      </c>
      <c r="S263">
        <f t="shared" si="51"/>
        <v>44.111852009999993</v>
      </c>
    </row>
    <row r="264" spans="1:19" x14ac:dyDescent="0.3">
      <c r="A264">
        <v>11341975</v>
      </c>
      <c r="B264">
        <f t="shared" si="52"/>
        <v>9.0999999999999998E-2</v>
      </c>
      <c r="C264">
        <f t="shared" si="53"/>
        <v>23.788</v>
      </c>
      <c r="D264">
        <v>-0.82</v>
      </c>
      <c r="E264">
        <v>0.16</v>
      </c>
      <c r="F264">
        <v>-0.52</v>
      </c>
      <c r="G264">
        <f t="shared" si="54"/>
        <v>0</v>
      </c>
      <c r="H264">
        <f t="shared" si="55"/>
        <v>0</v>
      </c>
      <c r="I264">
        <f t="shared" si="56"/>
        <v>0</v>
      </c>
      <c r="J264">
        <f t="shared" si="48"/>
        <v>0</v>
      </c>
      <c r="K264">
        <f t="shared" si="49"/>
        <v>0</v>
      </c>
      <c r="L264">
        <f t="shared" si="50"/>
        <v>0</v>
      </c>
      <c r="M264">
        <f t="shared" si="57"/>
        <v>-6.1804545075000002E-2</v>
      </c>
      <c r="N264">
        <f t="shared" si="58"/>
        <v>0</v>
      </c>
      <c r="O264">
        <f t="shared" si="59"/>
        <v>-0.44111852009999991</v>
      </c>
      <c r="P264">
        <v>43.33</v>
      </c>
      <c r="R264">
        <v>23.788</v>
      </c>
      <c r="S264">
        <f t="shared" si="51"/>
        <v>44.111852009999993</v>
      </c>
    </row>
    <row r="265" spans="1:19" x14ac:dyDescent="0.3">
      <c r="A265">
        <v>11342065</v>
      </c>
      <c r="B265">
        <f t="shared" si="52"/>
        <v>0.09</v>
      </c>
      <c r="C265">
        <f t="shared" si="53"/>
        <v>23.878</v>
      </c>
      <c r="D265">
        <v>-0.82</v>
      </c>
      <c r="E265">
        <v>0.15</v>
      </c>
      <c r="F265">
        <v>-0.53</v>
      </c>
      <c r="G265">
        <f t="shared" si="54"/>
        <v>0</v>
      </c>
      <c r="H265">
        <f t="shared" si="55"/>
        <v>1.0000000000000009E-2</v>
      </c>
      <c r="I265">
        <f t="shared" si="56"/>
        <v>1.0000000000000009E-2</v>
      </c>
      <c r="J265">
        <f t="shared" si="48"/>
        <v>0</v>
      </c>
      <c r="K265">
        <f t="shared" si="49"/>
        <v>0</v>
      </c>
      <c r="L265">
        <f t="shared" si="50"/>
        <v>0</v>
      </c>
      <c r="M265">
        <f t="shared" si="57"/>
        <v>-6.1804545075000002E-2</v>
      </c>
      <c r="N265">
        <f t="shared" si="58"/>
        <v>0</v>
      </c>
      <c r="O265">
        <f t="shared" si="59"/>
        <v>-0.44111852009999991</v>
      </c>
      <c r="P265">
        <v>43.33</v>
      </c>
      <c r="R265">
        <v>23.878</v>
      </c>
      <c r="S265">
        <f t="shared" si="51"/>
        <v>44.111852009999993</v>
      </c>
    </row>
    <row r="266" spans="1:19" x14ac:dyDescent="0.3">
      <c r="A266">
        <v>11342156</v>
      </c>
      <c r="B266">
        <f t="shared" si="52"/>
        <v>9.0999999999999998E-2</v>
      </c>
      <c r="C266">
        <f t="shared" si="53"/>
        <v>23.969000000000001</v>
      </c>
      <c r="D266">
        <v>-0.82</v>
      </c>
      <c r="E266">
        <v>0.16</v>
      </c>
      <c r="F266">
        <v>-0.52</v>
      </c>
      <c r="G266">
        <f t="shared" si="54"/>
        <v>0</v>
      </c>
      <c r="H266">
        <f t="shared" si="55"/>
        <v>1.0000000000000009E-2</v>
      </c>
      <c r="I266">
        <f t="shared" si="56"/>
        <v>1.0000000000000009E-2</v>
      </c>
      <c r="J266">
        <f t="shared" si="48"/>
        <v>0</v>
      </c>
      <c r="K266">
        <f t="shared" si="49"/>
        <v>0</v>
      </c>
      <c r="L266">
        <f t="shared" si="50"/>
        <v>0</v>
      </c>
      <c r="M266">
        <f t="shared" si="57"/>
        <v>-6.1804545075000002E-2</v>
      </c>
      <c r="N266">
        <f t="shared" si="58"/>
        <v>0</v>
      </c>
      <c r="O266">
        <f t="shared" si="59"/>
        <v>-0.44111852009999991</v>
      </c>
      <c r="P266">
        <v>43.540000000000006</v>
      </c>
      <c r="R266">
        <v>23.969000000000001</v>
      </c>
      <c r="S266">
        <f t="shared" si="51"/>
        <v>44.111852009999993</v>
      </c>
    </row>
    <row r="267" spans="1:19" x14ac:dyDescent="0.3">
      <c r="A267">
        <v>11342247</v>
      </c>
      <c r="B267">
        <f t="shared" si="52"/>
        <v>9.0999999999999998E-2</v>
      </c>
      <c r="C267">
        <f t="shared" si="53"/>
        <v>24.06</v>
      </c>
      <c r="D267">
        <v>-0.82</v>
      </c>
      <c r="E267">
        <v>0.16</v>
      </c>
      <c r="F267">
        <v>-0.51</v>
      </c>
      <c r="G267">
        <f t="shared" si="54"/>
        <v>0</v>
      </c>
      <c r="H267">
        <f t="shared" si="55"/>
        <v>0</v>
      </c>
      <c r="I267">
        <f t="shared" si="56"/>
        <v>1.0000000000000009E-2</v>
      </c>
      <c r="J267">
        <f t="shared" si="48"/>
        <v>0</v>
      </c>
      <c r="K267">
        <f t="shared" si="49"/>
        <v>0</v>
      </c>
      <c r="L267">
        <f t="shared" si="50"/>
        <v>0</v>
      </c>
      <c r="M267">
        <f t="shared" si="57"/>
        <v>-6.1804545075000002E-2</v>
      </c>
      <c r="N267">
        <f t="shared" si="58"/>
        <v>0</v>
      </c>
      <c r="O267">
        <f t="shared" si="59"/>
        <v>-0.44111852009999991</v>
      </c>
      <c r="P267">
        <v>43.33</v>
      </c>
      <c r="R267">
        <v>24.06</v>
      </c>
      <c r="S267">
        <f t="shared" si="51"/>
        <v>44.111852009999993</v>
      </c>
    </row>
    <row r="268" spans="1:19" x14ac:dyDescent="0.3">
      <c r="A268">
        <v>11342338</v>
      </c>
      <c r="B268">
        <f t="shared" si="52"/>
        <v>9.0999999999999998E-2</v>
      </c>
      <c r="C268">
        <f t="shared" si="53"/>
        <v>24.151</v>
      </c>
      <c r="D268">
        <v>-0.82</v>
      </c>
      <c r="E268">
        <v>0.16</v>
      </c>
      <c r="F268">
        <v>-0.52</v>
      </c>
      <c r="G268">
        <f t="shared" si="54"/>
        <v>0</v>
      </c>
      <c r="H268">
        <f t="shared" si="55"/>
        <v>0</v>
      </c>
      <c r="I268">
        <f t="shared" si="56"/>
        <v>1.0000000000000009E-2</v>
      </c>
      <c r="J268">
        <f t="shared" si="48"/>
        <v>0</v>
      </c>
      <c r="K268">
        <f t="shared" si="49"/>
        <v>0</v>
      </c>
      <c r="L268">
        <f t="shared" si="50"/>
        <v>0</v>
      </c>
      <c r="M268">
        <f t="shared" si="57"/>
        <v>-6.1804545075000002E-2</v>
      </c>
      <c r="N268">
        <f t="shared" si="58"/>
        <v>0</v>
      </c>
      <c r="O268">
        <f t="shared" si="59"/>
        <v>-0.44111852009999991</v>
      </c>
      <c r="P268">
        <v>43.120000000000005</v>
      </c>
      <c r="R268">
        <v>24.151</v>
      </c>
      <c r="S268">
        <f t="shared" si="51"/>
        <v>44.111852009999993</v>
      </c>
    </row>
    <row r="269" spans="1:19" x14ac:dyDescent="0.3">
      <c r="A269">
        <v>11342429</v>
      </c>
      <c r="B269">
        <f t="shared" si="52"/>
        <v>9.0999999999999998E-2</v>
      </c>
      <c r="C269">
        <f t="shared" si="53"/>
        <v>24.242000000000001</v>
      </c>
      <c r="D269">
        <v>-0.82</v>
      </c>
      <c r="E269">
        <v>0.16</v>
      </c>
      <c r="F269">
        <v>-0.53</v>
      </c>
      <c r="G269">
        <f t="shared" si="54"/>
        <v>0</v>
      </c>
      <c r="H269">
        <f t="shared" si="55"/>
        <v>0</v>
      </c>
      <c r="I269">
        <f t="shared" si="56"/>
        <v>1.0000000000000009E-2</v>
      </c>
      <c r="J269">
        <f t="shared" si="48"/>
        <v>0</v>
      </c>
      <c r="K269">
        <f t="shared" si="49"/>
        <v>0</v>
      </c>
      <c r="L269">
        <f t="shared" si="50"/>
        <v>0</v>
      </c>
      <c r="M269">
        <f t="shared" si="57"/>
        <v>-6.1804545075000002E-2</v>
      </c>
      <c r="N269">
        <f t="shared" si="58"/>
        <v>0</v>
      </c>
      <c r="O269">
        <f t="shared" si="59"/>
        <v>-0.44111852009999991</v>
      </c>
      <c r="P269">
        <v>43.120000000000005</v>
      </c>
      <c r="R269">
        <v>24.242000000000001</v>
      </c>
      <c r="S269">
        <f t="shared" si="51"/>
        <v>44.111852009999993</v>
      </c>
    </row>
    <row r="270" spans="1:19" x14ac:dyDescent="0.3">
      <c r="A270">
        <v>11342520</v>
      </c>
      <c r="B270">
        <f t="shared" si="52"/>
        <v>9.0999999999999998E-2</v>
      </c>
      <c r="C270">
        <f t="shared" si="53"/>
        <v>24.332999999999998</v>
      </c>
      <c r="D270">
        <v>-0.82</v>
      </c>
      <c r="E270">
        <v>0.15</v>
      </c>
      <c r="F270">
        <v>-0.53</v>
      </c>
      <c r="G270">
        <f t="shared" si="54"/>
        <v>0</v>
      </c>
      <c r="H270">
        <f t="shared" si="55"/>
        <v>1.0000000000000009E-2</v>
      </c>
      <c r="I270">
        <f t="shared" si="56"/>
        <v>0</v>
      </c>
      <c r="J270">
        <f t="shared" si="48"/>
        <v>0</v>
      </c>
      <c r="K270">
        <f t="shared" si="49"/>
        <v>0</v>
      </c>
      <c r="L270">
        <f t="shared" si="50"/>
        <v>0</v>
      </c>
      <c r="M270">
        <f t="shared" si="57"/>
        <v>-6.1804545075000002E-2</v>
      </c>
      <c r="N270">
        <f t="shared" si="58"/>
        <v>0</v>
      </c>
      <c r="O270">
        <f t="shared" si="59"/>
        <v>-0.44111852009999991</v>
      </c>
      <c r="P270">
        <v>43.120000000000005</v>
      </c>
      <c r="R270">
        <v>24.332999999999998</v>
      </c>
      <c r="S270">
        <f t="shared" si="51"/>
        <v>44.111852009999993</v>
      </c>
    </row>
    <row r="271" spans="1:19" x14ac:dyDescent="0.3">
      <c r="A271">
        <v>11342610</v>
      </c>
      <c r="B271">
        <f t="shared" si="52"/>
        <v>0.09</v>
      </c>
      <c r="C271">
        <f t="shared" si="53"/>
        <v>24.422999999999998</v>
      </c>
      <c r="D271">
        <v>-0.81</v>
      </c>
      <c r="E271">
        <v>0.16</v>
      </c>
      <c r="F271">
        <v>-0.52</v>
      </c>
      <c r="G271">
        <f t="shared" si="54"/>
        <v>9.9999999999998979E-3</v>
      </c>
      <c r="H271">
        <f t="shared" si="55"/>
        <v>1.0000000000000009E-2</v>
      </c>
      <c r="I271">
        <f t="shared" si="56"/>
        <v>1.0000000000000009E-2</v>
      </c>
      <c r="J271">
        <f t="shared" si="48"/>
        <v>0</v>
      </c>
      <c r="K271">
        <f t="shared" si="49"/>
        <v>0</v>
      </c>
      <c r="L271">
        <f t="shared" si="50"/>
        <v>0</v>
      </c>
      <c r="M271">
        <f t="shared" si="57"/>
        <v>-6.1804545075000002E-2</v>
      </c>
      <c r="N271">
        <f t="shared" si="58"/>
        <v>0</v>
      </c>
      <c r="O271">
        <f t="shared" si="59"/>
        <v>-0.44111852009999991</v>
      </c>
      <c r="P271">
        <v>43.120000000000005</v>
      </c>
      <c r="R271">
        <v>24.422999999999998</v>
      </c>
      <c r="S271">
        <f t="shared" si="51"/>
        <v>44.111852009999993</v>
      </c>
    </row>
    <row r="272" spans="1:19" x14ac:dyDescent="0.3">
      <c r="A272">
        <v>11342701</v>
      </c>
      <c r="B272">
        <f t="shared" si="52"/>
        <v>9.0999999999999998E-2</v>
      </c>
      <c r="C272">
        <f t="shared" si="53"/>
        <v>24.513999999999999</v>
      </c>
      <c r="D272">
        <v>-0.82</v>
      </c>
      <c r="E272">
        <v>0.15</v>
      </c>
      <c r="F272">
        <v>-0.52</v>
      </c>
      <c r="G272">
        <f t="shared" si="54"/>
        <v>9.9999999999998979E-3</v>
      </c>
      <c r="H272">
        <f t="shared" si="55"/>
        <v>1.0000000000000009E-2</v>
      </c>
      <c r="I272">
        <f t="shared" si="56"/>
        <v>0</v>
      </c>
      <c r="J272">
        <f t="shared" si="48"/>
        <v>0</v>
      </c>
      <c r="K272">
        <f t="shared" si="49"/>
        <v>0</v>
      </c>
      <c r="L272">
        <f t="shared" si="50"/>
        <v>0</v>
      </c>
      <c r="M272">
        <f t="shared" si="57"/>
        <v>-6.1804545075000002E-2</v>
      </c>
      <c r="N272">
        <f t="shared" si="58"/>
        <v>0</v>
      </c>
      <c r="O272">
        <f t="shared" si="59"/>
        <v>-0.44111852009999991</v>
      </c>
      <c r="P272">
        <v>43.33</v>
      </c>
      <c r="R272">
        <v>24.513999999999999</v>
      </c>
      <c r="S272">
        <f t="shared" si="51"/>
        <v>44.111852009999993</v>
      </c>
    </row>
    <row r="273" spans="1:19" x14ac:dyDescent="0.3">
      <c r="A273">
        <v>11342792</v>
      </c>
      <c r="B273">
        <f t="shared" si="52"/>
        <v>9.0999999999999998E-2</v>
      </c>
      <c r="C273">
        <f t="shared" si="53"/>
        <v>24.605</v>
      </c>
      <c r="D273">
        <v>-0.82</v>
      </c>
      <c r="E273">
        <v>0.16</v>
      </c>
      <c r="F273">
        <v>-0.53</v>
      </c>
      <c r="G273">
        <f t="shared" si="54"/>
        <v>0</v>
      </c>
      <c r="H273">
        <f t="shared" si="55"/>
        <v>1.0000000000000009E-2</v>
      </c>
      <c r="I273">
        <f t="shared" si="56"/>
        <v>1.0000000000000009E-2</v>
      </c>
      <c r="J273">
        <f t="shared" si="48"/>
        <v>0</v>
      </c>
      <c r="K273">
        <f t="shared" si="49"/>
        <v>0</v>
      </c>
      <c r="L273">
        <f t="shared" si="50"/>
        <v>0</v>
      </c>
      <c r="M273">
        <f t="shared" si="57"/>
        <v>-6.1804545075000002E-2</v>
      </c>
      <c r="N273">
        <f t="shared" si="58"/>
        <v>0</v>
      </c>
      <c r="O273">
        <f t="shared" si="59"/>
        <v>-0.44111852009999991</v>
      </c>
      <c r="P273">
        <v>43.120000000000005</v>
      </c>
      <c r="R273">
        <v>24.605</v>
      </c>
      <c r="S273">
        <f t="shared" si="51"/>
        <v>44.111852009999993</v>
      </c>
    </row>
    <row r="274" spans="1:19" x14ac:dyDescent="0.3">
      <c r="A274">
        <v>11342883</v>
      </c>
      <c r="B274">
        <f t="shared" si="52"/>
        <v>9.0999999999999998E-2</v>
      </c>
      <c r="C274">
        <f t="shared" si="53"/>
        <v>24.696000000000002</v>
      </c>
      <c r="D274">
        <v>-0.82</v>
      </c>
      <c r="E274">
        <v>0.16</v>
      </c>
      <c r="F274">
        <v>-0.52</v>
      </c>
      <c r="G274">
        <f t="shared" si="54"/>
        <v>0</v>
      </c>
      <c r="H274">
        <f t="shared" si="55"/>
        <v>0</v>
      </c>
      <c r="I274">
        <f t="shared" si="56"/>
        <v>1.0000000000000009E-2</v>
      </c>
      <c r="J274">
        <f t="shared" si="48"/>
        <v>0</v>
      </c>
      <c r="K274">
        <f t="shared" si="49"/>
        <v>0</v>
      </c>
      <c r="L274">
        <f t="shared" si="50"/>
        <v>0</v>
      </c>
      <c r="M274">
        <f t="shared" si="57"/>
        <v>-6.1804545075000002E-2</v>
      </c>
      <c r="N274">
        <f t="shared" si="58"/>
        <v>0</v>
      </c>
      <c r="O274">
        <f t="shared" si="59"/>
        <v>-0.44111852009999991</v>
      </c>
      <c r="P274">
        <v>42.710000000000008</v>
      </c>
      <c r="R274">
        <v>24.696000000000002</v>
      </c>
      <c r="S274">
        <f t="shared" si="51"/>
        <v>44.111852009999993</v>
      </c>
    </row>
    <row r="275" spans="1:19" x14ac:dyDescent="0.3">
      <c r="A275">
        <v>11342973</v>
      </c>
      <c r="B275">
        <f t="shared" si="52"/>
        <v>0.09</v>
      </c>
      <c r="C275">
        <f t="shared" si="53"/>
        <v>24.786000000000001</v>
      </c>
      <c r="D275">
        <v>-0.82</v>
      </c>
      <c r="E275">
        <v>0.15</v>
      </c>
      <c r="F275">
        <v>-0.52</v>
      </c>
      <c r="G275">
        <f t="shared" si="54"/>
        <v>0</v>
      </c>
      <c r="H275">
        <f t="shared" si="55"/>
        <v>1.0000000000000009E-2</v>
      </c>
      <c r="I275">
        <f t="shared" si="56"/>
        <v>0</v>
      </c>
      <c r="J275">
        <f t="shared" si="48"/>
        <v>0</v>
      </c>
      <c r="K275">
        <f t="shared" si="49"/>
        <v>0</v>
      </c>
      <c r="L275">
        <f t="shared" si="50"/>
        <v>0</v>
      </c>
      <c r="M275">
        <f t="shared" si="57"/>
        <v>-6.1804545075000002E-2</v>
      </c>
      <c r="N275">
        <f t="shared" si="58"/>
        <v>0</v>
      </c>
      <c r="O275">
        <f t="shared" si="59"/>
        <v>-0.44111852009999991</v>
      </c>
      <c r="P275">
        <v>43.120000000000005</v>
      </c>
      <c r="R275">
        <v>24.786000000000001</v>
      </c>
      <c r="S275">
        <f t="shared" si="51"/>
        <v>44.111852009999993</v>
      </c>
    </row>
    <row r="276" spans="1:19" x14ac:dyDescent="0.3">
      <c r="A276">
        <v>11343065</v>
      </c>
      <c r="B276">
        <f t="shared" si="52"/>
        <v>9.1999999999999998E-2</v>
      </c>
      <c r="C276">
        <f t="shared" si="53"/>
        <v>24.878</v>
      </c>
      <c r="D276">
        <v>-0.82</v>
      </c>
      <c r="E276">
        <v>0.16</v>
      </c>
      <c r="F276">
        <v>-0.53</v>
      </c>
      <c r="G276">
        <f t="shared" si="54"/>
        <v>0</v>
      </c>
      <c r="H276">
        <f t="shared" si="55"/>
        <v>1.0000000000000009E-2</v>
      </c>
      <c r="I276">
        <f t="shared" si="56"/>
        <v>1.0000000000000009E-2</v>
      </c>
      <c r="J276">
        <f t="shared" si="48"/>
        <v>0</v>
      </c>
      <c r="K276">
        <f t="shared" si="49"/>
        <v>0</v>
      </c>
      <c r="L276">
        <f t="shared" si="50"/>
        <v>0</v>
      </c>
      <c r="M276">
        <f t="shared" si="57"/>
        <v>-6.1804545075000002E-2</v>
      </c>
      <c r="N276">
        <f t="shared" si="58"/>
        <v>0</v>
      </c>
      <c r="O276">
        <f t="shared" si="59"/>
        <v>-0.44111852009999991</v>
      </c>
      <c r="P276">
        <v>43.120000000000005</v>
      </c>
      <c r="R276">
        <v>24.878</v>
      </c>
      <c r="S276">
        <f t="shared" si="51"/>
        <v>44.111852009999993</v>
      </c>
    </row>
    <row r="277" spans="1:19" x14ac:dyDescent="0.3">
      <c r="A277">
        <v>11343156</v>
      </c>
      <c r="B277">
        <f t="shared" si="52"/>
        <v>9.0999999999999998E-2</v>
      </c>
      <c r="C277">
        <f t="shared" si="53"/>
        <v>24.969000000000001</v>
      </c>
      <c r="D277">
        <v>-0.82</v>
      </c>
      <c r="E277">
        <v>0.16</v>
      </c>
      <c r="F277">
        <v>-0.52</v>
      </c>
      <c r="G277">
        <f t="shared" si="54"/>
        <v>0</v>
      </c>
      <c r="H277">
        <f t="shared" si="55"/>
        <v>0</v>
      </c>
      <c r="I277">
        <f t="shared" si="56"/>
        <v>1.0000000000000009E-2</v>
      </c>
      <c r="J277">
        <f t="shared" si="48"/>
        <v>0</v>
      </c>
      <c r="K277">
        <f t="shared" si="49"/>
        <v>0</v>
      </c>
      <c r="L277">
        <f t="shared" si="50"/>
        <v>0</v>
      </c>
      <c r="M277">
        <f t="shared" si="57"/>
        <v>-6.1804545075000002E-2</v>
      </c>
      <c r="N277">
        <f t="shared" si="58"/>
        <v>0</v>
      </c>
      <c r="O277">
        <f t="shared" si="59"/>
        <v>-0.44111852009999991</v>
      </c>
      <c r="P277">
        <v>43.120000000000005</v>
      </c>
      <c r="R277">
        <v>24.969000000000001</v>
      </c>
      <c r="S277">
        <f t="shared" si="51"/>
        <v>44.111852009999993</v>
      </c>
    </row>
    <row r="278" spans="1:19" x14ac:dyDescent="0.3">
      <c r="A278">
        <v>11343246</v>
      </c>
      <c r="B278">
        <f t="shared" si="52"/>
        <v>0.09</v>
      </c>
      <c r="C278">
        <f t="shared" si="53"/>
        <v>25.059000000000001</v>
      </c>
      <c r="D278">
        <v>-0.82</v>
      </c>
      <c r="E278">
        <v>0.15</v>
      </c>
      <c r="F278">
        <v>-0.52</v>
      </c>
      <c r="G278">
        <f t="shared" si="54"/>
        <v>0</v>
      </c>
      <c r="H278">
        <f t="shared" si="55"/>
        <v>1.0000000000000009E-2</v>
      </c>
      <c r="I278">
        <f t="shared" si="56"/>
        <v>0</v>
      </c>
      <c r="J278">
        <f t="shared" si="48"/>
        <v>0</v>
      </c>
      <c r="K278">
        <f t="shared" si="49"/>
        <v>0</v>
      </c>
      <c r="L278">
        <f t="shared" si="50"/>
        <v>0</v>
      </c>
      <c r="M278">
        <f t="shared" si="57"/>
        <v>-6.1804545075000002E-2</v>
      </c>
      <c r="N278">
        <f t="shared" si="58"/>
        <v>0</v>
      </c>
      <c r="O278">
        <f t="shared" si="59"/>
        <v>-0.44111852009999991</v>
      </c>
      <c r="P278">
        <v>43.120000000000005</v>
      </c>
      <c r="R278">
        <v>25.059000000000001</v>
      </c>
      <c r="S278">
        <f t="shared" si="51"/>
        <v>44.111852009999993</v>
      </c>
    </row>
    <row r="279" spans="1:19" x14ac:dyDescent="0.3">
      <c r="A279">
        <v>11343337</v>
      </c>
      <c r="B279">
        <f t="shared" si="52"/>
        <v>9.0999999999999998E-2</v>
      </c>
      <c r="C279">
        <f t="shared" si="53"/>
        <v>25.15</v>
      </c>
      <c r="D279">
        <v>-0.82</v>
      </c>
      <c r="E279">
        <v>0.15</v>
      </c>
      <c r="F279">
        <v>-0.53</v>
      </c>
      <c r="G279">
        <f t="shared" si="54"/>
        <v>0</v>
      </c>
      <c r="H279">
        <f t="shared" si="55"/>
        <v>0</v>
      </c>
      <c r="I279">
        <f t="shared" si="56"/>
        <v>1.0000000000000009E-2</v>
      </c>
      <c r="J279">
        <f t="shared" si="48"/>
        <v>0</v>
      </c>
      <c r="K279">
        <f t="shared" si="49"/>
        <v>0</v>
      </c>
      <c r="L279">
        <f t="shared" si="50"/>
        <v>0</v>
      </c>
      <c r="M279">
        <f t="shared" si="57"/>
        <v>-6.1804545075000002E-2</v>
      </c>
      <c r="N279">
        <f t="shared" si="58"/>
        <v>0</v>
      </c>
      <c r="O279">
        <f t="shared" si="59"/>
        <v>-0.44111852009999991</v>
      </c>
      <c r="P279">
        <v>43.120000000000005</v>
      </c>
      <c r="R279">
        <v>25.15</v>
      </c>
      <c r="S279">
        <f t="shared" si="51"/>
        <v>44.111852009999993</v>
      </c>
    </row>
    <row r="280" spans="1:19" x14ac:dyDescent="0.3">
      <c r="A280">
        <v>11343428</v>
      </c>
      <c r="B280">
        <f t="shared" si="52"/>
        <v>9.0999999999999998E-2</v>
      </c>
      <c r="C280">
        <f t="shared" si="53"/>
        <v>25.241</v>
      </c>
      <c r="D280">
        <v>-0.82</v>
      </c>
      <c r="E280">
        <v>0.15</v>
      </c>
      <c r="F280">
        <v>-0.52</v>
      </c>
      <c r="G280">
        <f t="shared" si="54"/>
        <v>0</v>
      </c>
      <c r="H280">
        <f t="shared" si="55"/>
        <v>0</v>
      </c>
      <c r="I280">
        <f t="shared" si="56"/>
        <v>1.0000000000000009E-2</v>
      </c>
      <c r="J280">
        <f t="shared" si="48"/>
        <v>0</v>
      </c>
      <c r="K280">
        <f t="shared" si="49"/>
        <v>0</v>
      </c>
      <c r="L280">
        <f t="shared" si="50"/>
        <v>0</v>
      </c>
      <c r="M280">
        <f t="shared" si="57"/>
        <v>-6.1804545075000002E-2</v>
      </c>
      <c r="N280">
        <f t="shared" si="58"/>
        <v>0</v>
      </c>
      <c r="O280">
        <f t="shared" si="59"/>
        <v>-0.44111852009999991</v>
      </c>
      <c r="P280">
        <v>43.33</v>
      </c>
      <c r="R280">
        <v>25.241</v>
      </c>
      <c r="S280">
        <f t="shared" si="51"/>
        <v>44.111852009999993</v>
      </c>
    </row>
    <row r="281" spans="1:19" x14ac:dyDescent="0.3">
      <c r="A281">
        <v>11343518</v>
      </c>
      <c r="B281">
        <f t="shared" si="52"/>
        <v>0.09</v>
      </c>
      <c r="C281">
        <f t="shared" si="53"/>
        <v>25.331</v>
      </c>
      <c r="D281">
        <v>-0.82</v>
      </c>
      <c r="E281">
        <v>0.16</v>
      </c>
      <c r="F281">
        <v>-0.52</v>
      </c>
      <c r="G281">
        <f t="shared" si="54"/>
        <v>0</v>
      </c>
      <c r="H281">
        <f t="shared" si="55"/>
        <v>1.0000000000000009E-2</v>
      </c>
      <c r="I281">
        <f t="shared" si="56"/>
        <v>0</v>
      </c>
      <c r="J281">
        <f t="shared" si="48"/>
        <v>0</v>
      </c>
      <c r="K281">
        <f t="shared" si="49"/>
        <v>0</v>
      </c>
      <c r="L281">
        <f t="shared" si="50"/>
        <v>0</v>
      </c>
      <c r="M281">
        <f t="shared" si="57"/>
        <v>-6.1804545075000002E-2</v>
      </c>
      <c r="N281">
        <f t="shared" si="58"/>
        <v>0</v>
      </c>
      <c r="O281">
        <f t="shared" si="59"/>
        <v>-0.44111852009999991</v>
      </c>
      <c r="P281">
        <v>43.120000000000005</v>
      </c>
      <c r="R281">
        <v>25.331</v>
      </c>
      <c r="S281">
        <f t="shared" si="51"/>
        <v>44.111852009999993</v>
      </c>
    </row>
    <row r="282" spans="1:19" x14ac:dyDescent="0.3">
      <c r="A282">
        <v>11343609</v>
      </c>
      <c r="B282">
        <f t="shared" si="52"/>
        <v>9.0999999999999998E-2</v>
      </c>
      <c r="C282">
        <f t="shared" si="53"/>
        <v>25.422000000000001</v>
      </c>
      <c r="D282">
        <v>-0.82</v>
      </c>
      <c r="E282">
        <v>0.16</v>
      </c>
      <c r="F282">
        <v>-0.51</v>
      </c>
      <c r="G282">
        <f t="shared" si="54"/>
        <v>0</v>
      </c>
      <c r="H282">
        <f t="shared" si="55"/>
        <v>0</v>
      </c>
      <c r="I282">
        <f t="shared" si="56"/>
        <v>1.0000000000000009E-2</v>
      </c>
      <c r="J282">
        <f t="shared" si="48"/>
        <v>0</v>
      </c>
      <c r="K282">
        <f t="shared" si="49"/>
        <v>0</v>
      </c>
      <c r="L282">
        <f t="shared" si="50"/>
        <v>0</v>
      </c>
      <c r="M282">
        <f t="shared" si="57"/>
        <v>-6.1804545075000002E-2</v>
      </c>
      <c r="N282">
        <f t="shared" si="58"/>
        <v>0</v>
      </c>
      <c r="O282">
        <f t="shared" si="59"/>
        <v>-0.44111852009999991</v>
      </c>
      <c r="P282">
        <v>43.120000000000005</v>
      </c>
      <c r="R282">
        <v>25.422000000000001</v>
      </c>
      <c r="S282">
        <f t="shared" si="51"/>
        <v>44.111852009999993</v>
      </c>
    </row>
    <row r="283" spans="1:19" x14ac:dyDescent="0.3">
      <c r="A283">
        <v>11343700</v>
      </c>
      <c r="B283">
        <f t="shared" si="52"/>
        <v>9.0999999999999998E-2</v>
      </c>
      <c r="C283">
        <f t="shared" si="53"/>
        <v>25.513000000000002</v>
      </c>
      <c r="D283">
        <v>-0.82</v>
      </c>
      <c r="E283">
        <v>0.16</v>
      </c>
      <c r="F283">
        <v>-0.52</v>
      </c>
      <c r="G283">
        <f t="shared" si="54"/>
        <v>0</v>
      </c>
      <c r="H283">
        <f t="shared" si="55"/>
        <v>0</v>
      </c>
      <c r="I283">
        <f t="shared" si="56"/>
        <v>1.0000000000000009E-2</v>
      </c>
      <c r="J283">
        <f t="shared" si="48"/>
        <v>0</v>
      </c>
      <c r="K283">
        <f t="shared" si="49"/>
        <v>0</v>
      </c>
      <c r="L283">
        <f t="shared" si="50"/>
        <v>0</v>
      </c>
      <c r="M283">
        <f t="shared" si="57"/>
        <v>-6.1804545075000002E-2</v>
      </c>
      <c r="N283">
        <f t="shared" si="58"/>
        <v>0</v>
      </c>
      <c r="O283">
        <f t="shared" si="59"/>
        <v>-0.44111852009999991</v>
      </c>
      <c r="P283">
        <v>43.120000000000005</v>
      </c>
      <c r="R283">
        <v>25.513000000000002</v>
      </c>
      <c r="S283">
        <f t="shared" si="51"/>
        <v>44.111852009999993</v>
      </c>
    </row>
    <row r="284" spans="1:19" x14ac:dyDescent="0.3">
      <c r="A284">
        <v>11343791</v>
      </c>
      <c r="B284">
        <f t="shared" si="52"/>
        <v>9.0999999999999998E-2</v>
      </c>
      <c r="C284">
        <f t="shared" si="53"/>
        <v>25.603999999999999</v>
      </c>
      <c r="D284">
        <v>-0.83</v>
      </c>
      <c r="E284">
        <v>0.15</v>
      </c>
      <c r="F284">
        <v>-0.53</v>
      </c>
      <c r="G284">
        <f t="shared" si="54"/>
        <v>1.0000000000000009E-2</v>
      </c>
      <c r="H284">
        <f t="shared" si="55"/>
        <v>1.0000000000000009E-2</v>
      </c>
      <c r="I284">
        <f t="shared" si="56"/>
        <v>1.0000000000000009E-2</v>
      </c>
      <c r="J284">
        <f t="shared" si="48"/>
        <v>0</v>
      </c>
      <c r="K284">
        <f t="shared" si="49"/>
        <v>0</v>
      </c>
      <c r="L284">
        <f t="shared" si="50"/>
        <v>0</v>
      </c>
      <c r="M284">
        <f t="shared" si="57"/>
        <v>-6.1804545075000002E-2</v>
      </c>
      <c r="N284">
        <f t="shared" si="58"/>
        <v>0</v>
      </c>
      <c r="O284">
        <f t="shared" si="59"/>
        <v>-0.44111852009999991</v>
      </c>
      <c r="P284">
        <v>43.540000000000006</v>
      </c>
      <c r="R284">
        <v>25.603999999999999</v>
      </c>
      <c r="S284">
        <f t="shared" si="51"/>
        <v>44.111852009999993</v>
      </c>
    </row>
    <row r="285" spans="1:19" x14ac:dyDescent="0.3">
      <c r="A285">
        <v>11343882</v>
      </c>
      <c r="B285">
        <f t="shared" si="52"/>
        <v>9.0999999999999998E-2</v>
      </c>
      <c r="C285">
        <f t="shared" si="53"/>
        <v>25.695</v>
      </c>
      <c r="D285">
        <v>-0.81</v>
      </c>
      <c r="E285">
        <v>0.15</v>
      </c>
      <c r="F285">
        <v>-0.52</v>
      </c>
      <c r="G285">
        <f t="shared" si="54"/>
        <v>1.9999999999999907E-2</v>
      </c>
      <c r="H285">
        <f t="shared" si="55"/>
        <v>0</v>
      </c>
      <c r="I285">
        <f t="shared" si="56"/>
        <v>1.0000000000000009E-2</v>
      </c>
      <c r="J285">
        <f t="shared" si="48"/>
        <v>0</v>
      </c>
      <c r="K285">
        <f t="shared" si="49"/>
        <v>0</v>
      </c>
      <c r="L285">
        <f t="shared" si="50"/>
        <v>0</v>
      </c>
      <c r="M285">
        <f t="shared" si="57"/>
        <v>-6.1804545075000002E-2</v>
      </c>
      <c r="N285">
        <f t="shared" si="58"/>
        <v>0</v>
      </c>
      <c r="O285">
        <f t="shared" si="59"/>
        <v>-0.44111852009999991</v>
      </c>
      <c r="P285">
        <v>43.120000000000005</v>
      </c>
      <c r="R285">
        <v>25.695</v>
      </c>
      <c r="S285">
        <f t="shared" si="51"/>
        <v>44.111852009999993</v>
      </c>
    </row>
    <row r="286" spans="1:19" x14ac:dyDescent="0.3">
      <c r="A286">
        <v>11343973</v>
      </c>
      <c r="B286">
        <f t="shared" si="52"/>
        <v>9.0999999999999998E-2</v>
      </c>
      <c r="C286">
        <f t="shared" si="53"/>
        <v>25.786000000000001</v>
      </c>
      <c r="D286">
        <v>-0.82</v>
      </c>
      <c r="E286">
        <v>0.16</v>
      </c>
      <c r="F286">
        <v>-0.52</v>
      </c>
      <c r="G286">
        <f t="shared" si="54"/>
        <v>9.9999999999998979E-3</v>
      </c>
      <c r="H286">
        <f t="shared" si="55"/>
        <v>1.0000000000000009E-2</v>
      </c>
      <c r="I286">
        <f t="shared" si="56"/>
        <v>0</v>
      </c>
      <c r="J286">
        <f t="shared" si="48"/>
        <v>0</v>
      </c>
      <c r="K286">
        <f t="shared" si="49"/>
        <v>0</v>
      </c>
      <c r="L286">
        <f t="shared" si="50"/>
        <v>0</v>
      </c>
      <c r="M286">
        <f t="shared" si="57"/>
        <v>-6.1804545075000002E-2</v>
      </c>
      <c r="N286">
        <f t="shared" si="58"/>
        <v>0</v>
      </c>
      <c r="O286">
        <f t="shared" si="59"/>
        <v>-0.44111852009999991</v>
      </c>
      <c r="P286">
        <v>42.5</v>
      </c>
      <c r="R286">
        <v>25.786000000000001</v>
      </c>
      <c r="S286">
        <f t="shared" si="51"/>
        <v>44.111852009999993</v>
      </c>
    </row>
    <row r="287" spans="1:19" x14ac:dyDescent="0.3">
      <c r="A287">
        <v>11344063</v>
      </c>
      <c r="B287">
        <f t="shared" si="52"/>
        <v>0.09</v>
      </c>
      <c r="C287">
        <f t="shared" si="53"/>
        <v>25.876000000000001</v>
      </c>
      <c r="D287">
        <v>-0.82</v>
      </c>
      <c r="E287">
        <v>0.15</v>
      </c>
      <c r="F287">
        <v>-0.52</v>
      </c>
      <c r="G287">
        <f t="shared" si="54"/>
        <v>0</v>
      </c>
      <c r="H287">
        <f t="shared" si="55"/>
        <v>1.0000000000000009E-2</v>
      </c>
      <c r="I287">
        <f t="shared" si="56"/>
        <v>0</v>
      </c>
      <c r="J287">
        <f t="shared" si="48"/>
        <v>0</v>
      </c>
      <c r="K287">
        <f t="shared" si="49"/>
        <v>0</v>
      </c>
      <c r="L287">
        <f t="shared" si="50"/>
        <v>0</v>
      </c>
      <c r="M287">
        <f t="shared" si="57"/>
        <v>-6.1804545075000002E-2</v>
      </c>
      <c r="N287">
        <f t="shared" si="58"/>
        <v>0</v>
      </c>
      <c r="O287">
        <f t="shared" si="59"/>
        <v>-0.44111852009999991</v>
      </c>
      <c r="P287">
        <v>43.33</v>
      </c>
      <c r="R287">
        <v>25.876000000000001</v>
      </c>
      <c r="S287">
        <f t="shared" si="51"/>
        <v>44.111852009999993</v>
      </c>
    </row>
    <row r="288" spans="1:19" x14ac:dyDescent="0.3">
      <c r="A288">
        <v>11344154</v>
      </c>
      <c r="B288">
        <f t="shared" si="52"/>
        <v>9.0999999999999998E-2</v>
      </c>
      <c r="C288">
        <f t="shared" si="53"/>
        <v>25.966999999999999</v>
      </c>
      <c r="D288">
        <v>-0.83</v>
      </c>
      <c r="E288">
        <v>0.15</v>
      </c>
      <c r="F288">
        <v>-0.52</v>
      </c>
      <c r="G288">
        <f t="shared" si="54"/>
        <v>1.0000000000000009E-2</v>
      </c>
      <c r="H288">
        <f t="shared" si="55"/>
        <v>0</v>
      </c>
      <c r="I288">
        <f t="shared" si="56"/>
        <v>0</v>
      </c>
      <c r="J288">
        <f t="shared" si="48"/>
        <v>0</v>
      </c>
      <c r="K288">
        <f t="shared" si="49"/>
        <v>0</v>
      </c>
      <c r="L288">
        <f t="shared" si="50"/>
        <v>0</v>
      </c>
      <c r="M288">
        <f t="shared" si="57"/>
        <v>-6.1804545075000002E-2</v>
      </c>
      <c r="N288">
        <f t="shared" si="58"/>
        <v>0</v>
      </c>
      <c r="O288">
        <f t="shared" si="59"/>
        <v>-0.44111852009999991</v>
      </c>
      <c r="P288">
        <v>43.540000000000006</v>
      </c>
      <c r="R288">
        <v>25.966999999999999</v>
      </c>
      <c r="S288">
        <f t="shared" si="51"/>
        <v>44.111852009999993</v>
      </c>
    </row>
    <row r="289" spans="1:19" x14ac:dyDescent="0.3">
      <c r="A289">
        <v>11344245</v>
      </c>
      <c r="B289">
        <f t="shared" si="52"/>
        <v>9.0999999999999998E-2</v>
      </c>
      <c r="C289">
        <f t="shared" si="53"/>
        <v>26.058</v>
      </c>
      <c r="D289">
        <v>-0.82</v>
      </c>
      <c r="E289">
        <v>0.16</v>
      </c>
      <c r="F289">
        <v>-0.53</v>
      </c>
      <c r="G289">
        <f t="shared" si="54"/>
        <v>1.0000000000000009E-2</v>
      </c>
      <c r="H289">
        <f t="shared" si="55"/>
        <v>1.0000000000000009E-2</v>
      </c>
      <c r="I289">
        <f t="shared" si="56"/>
        <v>1.0000000000000009E-2</v>
      </c>
      <c r="J289">
        <f t="shared" si="48"/>
        <v>0</v>
      </c>
      <c r="K289">
        <f t="shared" si="49"/>
        <v>0</v>
      </c>
      <c r="L289">
        <f t="shared" si="50"/>
        <v>0</v>
      </c>
      <c r="M289">
        <f t="shared" si="57"/>
        <v>-6.1804545075000002E-2</v>
      </c>
      <c r="N289">
        <f t="shared" si="58"/>
        <v>0</v>
      </c>
      <c r="O289">
        <f t="shared" si="59"/>
        <v>-0.44111852009999991</v>
      </c>
      <c r="P289">
        <v>43.33</v>
      </c>
      <c r="R289">
        <v>26.058</v>
      </c>
      <c r="S289">
        <f t="shared" si="51"/>
        <v>44.111852009999993</v>
      </c>
    </row>
    <row r="290" spans="1:19" x14ac:dyDescent="0.3">
      <c r="A290">
        <v>11344335</v>
      </c>
      <c r="B290">
        <f t="shared" si="52"/>
        <v>0.09</v>
      </c>
      <c r="C290">
        <f t="shared" si="53"/>
        <v>26.148</v>
      </c>
      <c r="D290">
        <v>-0.82</v>
      </c>
      <c r="E290">
        <v>0.16</v>
      </c>
      <c r="F290">
        <v>-0.52</v>
      </c>
      <c r="G290">
        <f t="shared" si="54"/>
        <v>0</v>
      </c>
      <c r="H290">
        <f t="shared" si="55"/>
        <v>0</v>
      </c>
      <c r="I290">
        <f t="shared" si="56"/>
        <v>1.0000000000000009E-2</v>
      </c>
      <c r="J290">
        <f t="shared" si="48"/>
        <v>0</v>
      </c>
      <c r="K290">
        <f t="shared" si="49"/>
        <v>0</v>
      </c>
      <c r="L290">
        <f t="shared" si="50"/>
        <v>0</v>
      </c>
      <c r="M290">
        <f t="shared" si="57"/>
        <v>-6.1804545075000002E-2</v>
      </c>
      <c r="N290">
        <f t="shared" si="58"/>
        <v>0</v>
      </c>
      <c r="O290">
        <f t="shared" si="59"/>
        <v>-0.44111852009999991</v>
      </c>
      <c r="P290">
        <v>43.33</v>
      </c>
      <c r="R290">
        <v>26.148</v>
      </c>
      <c r="S290">
        <f t="shared" si="51"/>
        <v>44.111852009999993</v>
      </c>
    </row>
    <row r="291" spans="1:19" x14ac:dyDescent="0.3">
      <c r="A291">
        <v>11344427</v>
      </c>
      <c r="B291">
        <f t="shared" si="52"/>
        <v>9.1999999999999998E-2</v>
      </c>
      <c r="C291">
        <f t="shared" si="53"/>
        <v>26.24</v>
      </c>
      <c r="D291">
        <v>-0.82</v>
      </c>
      <c r="E291">
        <v>0.15</v>
      </c>
      <c r="F291">
        <v>-0.52</v>
      </c>
      <c r="G291">
        <f t="shared" si="54"/>
        <v>0</v>
      </c>
      <c r="H291">
        <f t="shared" si="55"/>
        <v>1.0000000000000009E-2</v>
      </c>
      <c r="I291">
        <f t="shared" si="56"/>
        <v>0</v>
      </c>
      <c r="J291">
        <f t="shared" si="48"/>
        <v>0</v>
      </c>
      <c r="K291">
        <f t="shared" si="49"/>
        <v>0</v>
      </c>
      <c r="L291">
        <f t="shared" si="50"/>
        <v>0</v>
      </c>
      <c r="M291">
        <f t="shared" si="57"/>
        <v>-6.1804545075000002E-2</v>
      </c>
      <c r="N291">
        <f t="shared" si="58"/>
        <v>0</v>
      </c>
      <c r="O291">
        <f t="shared" si="59"/>
        <v>-0.44111852009999991</v>
      </c>
      <c r="P291">
        <v>43.120000000000005</v>
      </c>
      <c r="R291">
        <v>26.24</v>
      </c>
      <c r="S291">
        <f t="shared" si="51"/>
        <v>44.111852009999993</v>
      </c>
    </row>
    <row r="292" spans="1:19" x14ac:dyDescent="0.3">
      <c r="A292">
        <v>11344518</v>
      </c>
      <c r="B292">
        <f t="shared" si="52"/>
        <v>9.0999999999999998E-2</v>
      </c>
      <c r="C292">
        <f t="shared" si="53"/>
        <v>26.331</v>
      </c>
      <c r="D292">
        <v>-0.82</v>
      </c>
      <c r="E292">
        <v>0.16</v>
      </c>
      <c r="F292">
        <v>-0.53</v>
      </c>
      <c r="G292">
        <f t="shared" si="54"/>
        <v>0</v>
      </c>
      <c r="H292">
        <f t="shared" si="55"/>
        <v>1.0000000000000009E-2</v>
      </c>
      <c r="I292">
        <f t="shared" si="56"/>
        <v>1.0000000000000009E-2</v>
      </c>
      <c r="J292">
        <f t="shared" si="48"/>
        <v>0</v>
      </c>
      <c r="K292">
        <f t="shared" si="49"/>
        <v>0</v>
      </c>
      <c r="L292">
        <f t="shared" si="50"/>
        <v>0</v>
      </c>
      <c r="M292">
        <f t="shared" si="57"/>
        <v>-6.1804545075000002E-2</v>
      </c>
      <c r="N292">
        <f t="shared" si="58"/>
        <v>0</v>
      </c>
      <c r="O292">
        <f t="shared" si="59"/>
        <v>-0.44111852009999991</v>
      </c>
      <c r="P292">
        <v>43.120000000000005</v>
      </c>
      <c r="R292">
        <v>26.331</v>
      </c>
      <c r="S292">
        <f t="shared" si="51"/>
        <v>44.111852009999993</v>
      </c>
    </row>
    <row r="293" spans="1:19" x14ac:dyDescent="0.3">
      <c r="A293">
        <v>11344608</v>
      </c>
      <c r="B293">
        <f t="shared" si="52"/>
        <v>0.09</v>
      </c>
      <c r="C293">
        <f t="shared" si="53"/>
        <v>26.420999999999999</v>
      </c>
      <c r="D293">
        <v>-0.82</v>
      </c>
      <c r="E293">
        <v>0.16</v>
      </c>
      <c r="F293">
        <v>-0.53</v>
      </c>
      <c r="G293">
        <f t="shared" si="54"/>
        <v>0</v>
      </c>
      <c r="H293">
        <f t="shared" si="55"/>
        <v>0</v>
      </c>
      <c r="I293">
        <f t="shared" si="56"/>
        <v>0</v>
      </c>
      <c r="J293">
        <f t="shared" si="48"/>
        <v>0</v>
      </c>
      <c r="K293">
        <f t="shared" si="49"/>
        <v>0</v>
      </c>
      <c r="L293">
        <f t="shared" si="50"/>
        <v>0</v>
      </c>
      <c r="M293">
        <f t="shared" si="57"/>
        <v>-6.1804545075000002E-2</v>
      </c>
      <c r="N293">
        <f t="shared" si="58"/>
        <v>0</v>
      </c>
      <c r="O293">
        <f t="shared" si="59"/>
        <v>-0.44111852009999991</v>
      </c>
      <c r="P293">
        <v>43.120000000000005</v>
      </c>
      <c r="R293">
        <v>26.420999999999999</v>
      </c>
      <c r="S293">
        <f t="shared" si="51"/>
        <v>44.111852009999993</v>
      </c>
    </row>
    <row r="294" spans="1:19" x14ac:dyDescent="0.3">
      <c r="F294" t="s">
        <v>19</v>
      </c>
      <c r="G294">
        <f>_xlfn.STDEV.S(G2:G293)</f>
        <v>5.2999295212650625E-3</v>
      </c>
      <c r="H294">
        <f t="shared" ref="H294:I294" si="60">_xlfn.STDEV.S(H2:H293)</f>
        <v>5.0203183642912458E-3</v>
      </c>
      <c r="I294">
        <f t="shared" si="60"/>
        <v>7.1601310284902572E-3</v>
      </c>
    </row>
    <row r="295" spans="1:19" x14ac:dyDescent="0.3">
      <c r="F295" t="s">
        <v>18</v>
      </c>
      <c r="G295">
        <f>SUM(G294:I294)</f>
        <v>1.7480378914046565E-2</v>
      </c>
    </row>
    <row r="296" spans="1:19" x14ac:dyDescent="0.3">
      <c r="F296" t="s">
        <v>15</v>
      </c>
      <c r="G296" s="5">
        <f>1.5*G295</f>
        <v>2.6220568371069848E-2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2024-04-25T08:31:20Z</dcterms:created>
  <dcterms:modified xsi:type="dcterms:W3CDTF">2026-06-19T11:06:53Z</dcterms:modified>
</cp:coreProperties>
</file>