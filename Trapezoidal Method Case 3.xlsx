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Geoenvironmental Disasters\"/>
    </mc:Choice>
  </mc:AlternateContent>
  <xr:revisionPtr revIDLastSave="0" documentId="13_ncr:1_{B842207B-90AD-403D-B633-E88BCF872193}" xr6:coauthVersionLast="44" xr6:coauthVersionMax="44" xr10:uidLastSave="{00000000-0000-0000-0000-000000000000}"/>
  <bookViews>
    <workbookView xWindow="-108" yWindow="-108" windowWidth="23256" windowHeight="12456" xr2:uid="{87E31631-41CD-4E54-B7AF-9B0A4987E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T2" i="1" l="1"/>
  <c r="S24" i="1" l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L38" i="1" s="1"/>
  <c r="J38" i="1"/>
  <c r="K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L56" i="1" s="1"/>
  <c r="J56" i="1"/>
  <c r="K56" i="1"/>
  <c r="J57" i="1"/>
  <c r="K57" i="1"/>
  <c r="L57" i="1"/>
  <c r="J58" i="1"/>
  <c r="K58" i="1"/>
  <c r="L58" i="1"/>
  <c r="J59" i="1"/>
  <c r="K59" i="1"/>
  <c r="L59" i="1"/>
  <c r="L60" i="1" s="1"/>
  <c r="J60" i="1"/>
  <c r="K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K78" i="1" s="1"/>
  <c r="L77" i="1"/>
  <c r="J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K126" i="1" s="1"/>
  <c r="L125" i="1"/>
  <c r="J126" i="1"/>
  <c r="L126" i="1"/>
  <c r="J127" i="1"/>
  <c r="K127" i="1"/>
  <c r="L127" i="1"/>
  <c r="J128" i="1"/>
  <c r="J129" i="1" s="1"/>
  <c r="K128" i="1"/>
  <c r="L128" i="1"/>
  <c r="K129" i="1"/>
  <c r="L129" i="1"/>
  <c r="J130" i="1"/>
  <c r="K130" i="1"/>
  <c r="K131" i="1" s="1"/>
  <c r="K132" i="1" s="1"/>
  <c r="L130" i="1"/>
  <c r="J131" i="1"/>
  <c r="J132" i="1" s="1"/>
  <c r="L131" i="1"/>
  <c r="L132" i="1"/>
  <c r="J133" i="1"/>
  <c r="K133" i="1"/>
  <c r="J134" i="1"/>
  <c r="K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J140" i="1"/>
  <c r="K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J148" i="1"/>
  <c r="K148" i="1"/>
  <c r="J149" i="1"/>
  <c r="J150" i="1" s="1"/>
  <c r="J151" i="1" s="1"/>
  <c r="K149" i="1"/>
  <c r="L149" i="1"/>
  <c r="K150" i="1"/>
  <c r="L150" i="1"/>
  <c r="L151" i="1" s="1"/>
  <c r="K151" i="1"/>
  <c r="J152" i="1"/>
  <c r="K152" i="1"/>
  <c r="L152" i="1"/>
  <c r="J153" i="1"/>
  <c r="K153" i="1"/>
  <c r="L153" i="1"/>
  <c r="J154" i="1"/>
  <c r="K154" i="1"/>
  <c r="L154" i="1"/>
  <c r="J155" i="1"/>
  <c r="K155" i="1"/>
  <c r="J156" i="1"/>
  <c r="K156" i="1"/>
  <c r="L156" i="1"/>
  <c r="J157" i="1"/>
  <c r="K157" i="1"/>
  <c r="L157" i="1"/>
  <c r="L158" i="1" s="1"/>
  <c r="L159" i="1" s="1"/>
  <c r="J158" i="1"/>
  <c r="K158" i="1"/>
  <c r="J159" i="1"/>
  <c r="J160" i="1" s="1"/>
  <c r="J161" i="1" s="1"/>
  <c r="J162" i="1" s="1"/>
  <c r="J163" i="1" s="1"/>
  <c r="K159" i="1"/>
  <c r="K160" i="1"/>
  <c r="L160" i="1"/>
  <c r="K161" i="1"/>
  <c r="L161" i="1"/>
  <c r="K162" i="1"/>
  <c r="L162" i="1"/>
  <c r="K163" i="1"/>
  <c r="L163" i="1"/>
  <c r="J164" i="1"/>
  <c r="K164" i="1"/>
  <c r="L164" i="1"/>
  <c r="J165" i="1"/>
  <c r="K165" i="1"/>
  <c r="L165" i="1"/>
  <c r="J166" i="1"/>
  <c r="K166" i="1"/>
  <c r="L166" i="1"/>
  <c r="L167" i="1" s="1"/>
  <c r="J167" i="1"/>
  <c r="K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L175" i="1" s="1"/>
  <c r="L176" i="1" s="1"/>
  <c r="J175" i="1"/>
  <c r="K175" i="1"/>
  <c r="J176" i="1"/>
  <c r="K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J196" i="1" s="1"/>
  <c r="K195" i="1"/>
  <c r="L195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L3" i="1"/>
  <c r="K3" i="1"/>
  <c r="J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H3" i="1"/>
  <c r="I3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" i="1"/>
  <c r="G302" i="1" l="1"/>
  <c r="L147" i="1"/>
  <c r="L148" i="1" s="1"/>
  <c r="H302" i="1"/>
  <c r="M3" i="1"/>
  <c r="M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L155" i="1"/>
  <c r="L139" i="1"/>
  <c r="L140" i="1" s="1"/>
  <c r="L133" i="1"/>
  <c r="L134" i="1" s="1"/>
  <c r="L96" i="1"/>
  <c r="I302" i="1"/>
  <c r="O3" i="1"/>
  <c r="O4" i="1" l="1"/>
  <c r="T3" i="1"/>
  <c r="G303" i="1"/>
  <c r="G304" i="1" s="1"/>
  <c r="M5" i="1"/>
  <c r="O5" i="1" l="1"/>
  <c r="T4" i="1"/>
  <c r="M6" i="1"/>
  <c r="O6" i="1" l="1"/>
  <c r="T5" i="1"/>
  <c r="M7" i="1"/>
  <c r="O7" i="1" l="1"/>
  <c r="T6" i="1"/>
  <c r="M8" i="1"/>
  <c r="O8" i="1" l="1"/>
  <c r="T7" i="1"/>
  <c r="M9" i="1"/>
  <c r="O9" i="1" l="1"/>
  <c r="T8" i="1"/>
  <c r="M10" i="1"/>
  <c r="O10" i="1" l="1"/>
  <c r="T9" i="1"/>
  <c r="M11" i="1"/>
  <c r="O11" i="1" l="1"/>
  <c r="T10" i="1"/>
  <c r="M12" i="1"/>
  <c r="O12" i="1" l="1"/>
  <c r="T11" i="1"/>
  <c r="M13" i="1"/>
  <c r="O13" i="1" l="1"/>
  <c r="T12" i="1"/>
  <c r="M14" i="1"/>
  <c r="T13" i="1" l="1"/>
  <c r="O14" i="1"/>
  <c r="M15" i="1"/>
  <c r="O15" i="1" l="1"/>
  <c r="T14" i="1"/>
  <c r="M16" i="1"/>
  <c r="O16" i="1" l="1"/>
  <c r="T15" i="1"/>
  <c r="M17" i="1"/>
  <c r="O17" i="1" l="1"/>
  <c r="T16" i="1"/>
  <c r="M18" i="1"/>
  <c r="O18" i="1" l="1"/>
  <c r="T17" i="1"/>
  <c r="M19" i="1"/>
  <c r="O19" i="1" l="1"/>
  <c r="T18" i="1"/>
  <c r="M20" i="1"/>
  <c r="O20" i="1" l="1"/>
  <c r="T19" i="1"/>
  <c r="M21" i="1"/>
  <c r="O21" i="1" l="1"/>
  <c r="T20" i="1"/>
  <c r="M22" i="1"/>
  <c r="O22" i="1" l="1"/>
  <c r="T21" i="1"/>
  <c r="M23" i="1"/>
  <c r="O23" i="1" l="1"/>
  <c r="T22" i="1"/>
  <c r="M24" i="1"/>
  <c r="O24" i="1" l="1"/>
  <c r="T23" i="1"/>
  <c r="M25" i="1"/>
  <c r="O25" i="1" l="1"/>
  <c r="T24" i="1"/>
  <c r="M26" i="1"/>
  <c r="O26" i="1" l="1"/>
  <c r="T25" i="1"/>
  <c r="M27" i="1"/>
  <c r="O27" i="1" l="1"/>
  <c r="T26" i="1"/>
  <c r="M28" i="1"/>
  <c r="O28" i="1" l="1"/>
  <c r="T27" i="1"/>
  <c r="M29" i="1"/>
  <c r="O29" i="1" l="1"/>
  <c r="T28" i="1"/>
  <c r="M30" i="1"/>
  <c r="O30" i="1" l="1"/>
  <c r="T29" i="1"/>
  <c r="M31" i="1"/>
  <c r="O31" i="1" l="1"/>
  <c r="T30" i="1"/>
  <c r="M32" i="1"/>
  <c r="O32" i="1" l="1"/>
  <c r="T31" i="1"/>
  <c r="M33" i="1"/>
  <c r="O33" i="1" l="1"/>
  <c r="T32" i="1"/>
  <c r="M34" i="1"/>
  <c r="O34" i="1" l="1"/>
  <c r="T33" i="1"/>
  <c r="M35" i="1"/>
  <c r="O35" i="1" l="1"/>
  <c r="T34" i="1"/>
  <c r="M36" i="1"/>
  <c r="O36" i="1" l="1"/>
  <c r="T35" i="1"/>
  <c r="M37" i="1"/>
  <c r="O37" i="1" l="1"/>
  <c r="T36" i="1"/>
  <c r="M38" i="1"/>
  <c r="O38" i="1" l="1"/>
  <c r="T37" i="1"/>
  <c r="M39" i="1"/>
  <c r="O39" i="1" l="1"/>
  <c r="T38" i="1"/>
  <c r="M40" i="1"/>
  <c r="O40" i="1" l="1"/>
  <c r="T39" i="1"/>
  <c r="M41" i="1"/>
  <c r="O41" i="1" l="1"/>
  <c r="T40" i="1"/>
  <c r="M42" i="1"/>
  <c r="O42" i="1" l="1"/>
  <c r="T41" i="1"/>
  <c r="M43" i="1"/>
  <c r="O43" i="1" l="1"/>
  <c r="T42" i="1"/>
  <c r="M44" i="1"/>
  <c r="O44" i="1" l="1"/>
  <c r="T43" i="1"/>
  <c r="M45" i="1"/>
  <c r="O45" i="1" l="1"/>
  <c r="T44" i="1"/>
  <c r="M46" i="1"/>
  <c r="O46" i="1" l="1"/>
  <c r="T45" i="1"/>
  <c r="M47" i="1"/>
  <c r="O47" i="1" l="1"/>
  <c r="T46" i="1"/>
  <c r="M48" i="1"/>
  <c r="O48" i="1" l="1"/>
  <c r="T47" i="1"/>
  <c r="M49" i="1"/>
  <c r="O49" i="1" l="1"/>
  <c r="T48" i="1"/>
  <c r="M50" i="1"/>
  <c r="O50" i="1" l="1"/>
  <c r="T49" i="1"/>
  <c r="M51" i="1"/>
  <c r="O51" i="1" l="1"/>
  <c r="T50" i="1"/>
  <c r="M52" i="1"/>
  <c r="O52" i="1" l="1"/>
  <c r="T51" i="1"/>
  <c r="M53" i="1"/>
  <c r="O53" i="1" l="1"/>
  <c r="T52" i="1"/>
  <c r="M54" i="1"/>
  <c r="O54" i="1" l="1"/>
  <c r="T53" i="1"/>
  <c r="M55" i="1"/>
  <c r="O55" i="1" l="1"/>
  <c r="T54" i="1"/>
  <c r="M56" i="1"/>
  <c r="O56" i="1" l="1"/>
  <c r="T55" i="1"/>
  <c r="M57" i="1"/>
  <c r="O57" i="1" l="1"/>
  <c r="T56" i="1"/>
  <c r="M58" i="1"/>
  <c r="O58" i="1" l="1"/>
  <c r="T57" i="1"/>
  <c r="M59" i="1"/>
  <c r="O59" i="1" l="1"/>
  <c r="T58" i="1"/>
  <c r="M60" i="1"/>
  <c r="O60" i="1" l="1"/>
  <c r="T59" i="1"/>
  <c r="M61" i="1"/>
  <c r="O61" i="1" l="1"/>
  <c r="T60" i="1"/>
  <c r="M62" i="1"/>
  <c r="O62" i="1" l="1"/>
  <c r="T61" i="1"/>
  <c r="M63" i="1"/>
  <c r="O63" i="1" l="1"/>
  <c r="T62" i="1"/>
  <c r="M64" i="1"/>
  <c r="O64" i="1" l="1"/>
  <c r="T63" i="1"/>
  <c r="M65" i="1"/>
  <c r="O65" i="1" l="1"/>
  <c r="T64" i="1"/>
  <c r="M66" i="1"/>
  <c r="O66" i="1" l="1"/>
  <c r="T65" i="1"/>
  <c r="M67" i="1"/>
  <c r="O67" i="1" l="1"/>
  <c r="T66" i="1"/>
  <c r="M68" i="1"/>
  <c r="O68" i="1" l="1"/>
  <c r="T67" i="1"/>
  <c r="M69" i="1"/>
  <c r="O69" i="1" l="1"/>
  <c r="T68" i="1"/>
  <c r="M70" i="1"/>
  <c r="O70" i="1" l="1"/>
  <c r="T69" i="1"/>
  <c r="M71" i="1"/>
  <c r="O71" i="1" l="1"/>
  <c r="T70" i="1"/>
  <c r="M72" i="1"/>
  <c r="O72" i="1" l="1"/>
  <c r="T71" i="1"/>
  <c r="M73" i="1"/>
  <c r="O73" i="1" l="1"/>
  <c r="T72" i="1"/>
  <c r="M74" i="1"/>
  <c r="O74" i="1" l="1"/>
  <c r="T73" i="1"/>
  <c r="M75" i="1"/>
  <c r="O75" i="1" l="1"/>
  <c r="T74" i="1"/>
  <c r="M76" i="1"/>
  <c r="O76" i="1" l="1"/>
  <c r="T75" i="1"/>
  <c r="M77" i="1"/>
  <c r="O77" i="1" l="1"/>
  <c r="T76" i="1"/>
  <c r="M78" i="1"/>
  <c r="O78" i="1" l="1"/>
  <c r="T77" i="1"/>
  <c r="M79" i="1"/>
  <c r="O79" i="1" l="1"/>
  <c r="T78" i="1"/>
  <c r="M80" i="1"/>
  <c r="O80" i="1" l="1"/>
  <c r="T79" i="1"/>
  <c r="M81" i="1"/>
  <c r="O81" i="1" l="1"/>
  <c r="T80" i="1"/>
  <c r="M82" i="1"/>
  <c r="O82" i="1" l="1"/>
  <c r="T81" i="1"/>
  <c r="M83" i="1"/>
  <c r="O83" i="1" l="1"/>
  <c r="T82" i="1"/>
  <c r="M84" i="1"/>
  <c r="O84" i="1" l="1"/>
  <c r="T83" i="1"/>
  <c r="M85" i="1"/>
  <c r="O85" i="1" l="1"/>
  <c r="T84" i="1"/>
  <c r="M86" i="1"/>
  <c r="O86" i="1" l="1"/>
  <c r="T85" i="1"/>
  <c r="M87" i="1"/>
  <c r="O87" i="1" l="1"/>
  <c r="T86" i="1"/>
  <c r="M88" i="1"/>
  <c r="O88" i="1" l="1"/>
  <c r="T87" i="1"/>
  <c r="M89" i="1"/>
  <c r="O89" i="1" l="1"/>
  <c r="T88" i="1"/>
  <c r="M90" i="1"/>
  <c r="O90" i="1" l="1"/>
  <c r="T89" i="1"/>
  <c r="M91" i="1"/>
  <c r="O91" i="1" l="1"/>
  <c r="T90" i="1"/>
  <c r="M92" i="1"/>
  <c r="O92" i="1" l="1"/>
  <c r="T91" i="1"/>
  <c r="M93" i="1"/>
  <c r="O93" i="1" l="1"/>
  <c r="T92" i="1"/>
  <c r="M94" i="1"/>
  <c r="O94" i="1" l="1"/>
  <c r="T93" i="1"/>
  <c r="M95" i="1"/>
  <c r="O95" i="1" l="1"/>
  <c r="T94" i="1"/>
  <c r="M96" i="1"/>
  <c r="O96" i="1" l="1"/>
  <c r="T95" i="1"/>
  <c r="M97" i="1"/>
  <c r="O97" i="1" l="1"/>
  <c r="T96" i="1"/>
  <c r="M98" i="1"/>
  <c r="O98" i="1" l="1"/>
  <c r="T97" i="1"/>
  <c r="M99" i="1"/>
  <c r="O99" i="1" l="1"/>
  <c r="T98" i="1"/>
  <c r="M100" i="1"/>
  <c r="O100" i="1" l="1"/>
  <c r="T99" i="1"/>
  <c r="M101" i="1"/>
  <c r="O101" i="1" l="1"/>
  <c r="T100" i="1"/>
  <c r="M102" i="1"/>
  <c r="O102" i="1" l="1"/>
  <c r="T101" i="1"/>
  <c r="M103" i="1"/>
  <c r="O103" i="1" l="1"/>
  <c r="T102" i="1"/>
  <c r="M104" i="1"/>
  <c r="O104" i="1" l="1"/>
  <c r="T103" i="1"/>
  <c r="M105" i="1"/>
  <c r="O105" i="1" l="1"/>
  <c r="T104" i="1"/>
  <c r="M106" i="1"/>
  <c r="O106" i="1" l="1"/>
  <c r="T105" i="1"/>
  <c r="M107" i="1"/>
  <c r="O107" i="1" l="1"/>
  <c r="T106" i="1"/>
  <c r="M108" i="1"/>
  <c r="O108" i="1" l="1"/>
  <c r="T107" i="1"/>
  <c r="M109" i="1"/>
  <c r="O109" i="1" l="1"/>
  <c r="T108" i="1"/>
  <c r="M110" i="1"/>
  <c r="O110" i="1" l="1"/>
  <c r="T109" i="1"/>
  <c r="M111" i="1"/>
  <c r="O111" i="1" l="1"/>
  <c r="T110" i="1"/>
  <c r="M112" i="1"/>
  <c r="O112" i="1" l="1"/>
  <c r="T111" i="1"/>
  <c r="M113" i="1"/>
  <c r="O113" i="1" l="1"/>
  <c r="T112" i="1"/>
  <c r="M114" i="1"/>
  <c r="O114" i="1" l="1"/>
  <c r="T113" i="1"/>
  <c r="M115" i="1"/>
  <c r="O115" i="1" l="1"/>
  <c r="T114" i="1"/>
  <c r="M116" i="1"/>
  <c r="O116" i="1" l="1"/>
  <c r="T115" i="1"/>
  <c r="M117" i="1"/>
  <c r="O117" i="1" l="1"/>
  <c r="T116" i="1"/>
  <c r="M118" i="1"/>
  <c r="O118" i="1" l="1"/>
  <c r="T117" i="1"/>
  <c r="M119" i="1"/>
  <c r="O119" i="1" l="1"/>
  <c r="T118" i="1"/>
  <c r="M120" i="1"/>
  <c r="O120" i="1" l="1"/>
  <c r="T119" i="1"/>
  <c r="M121" i="1"/>
  <c r="O121" i="1" l="1"/>
  <c r="T120" i="1"/>
  <c r="M122" i="1"/>
  <c r="O122" i="1" l="1"/>
  <c r="T121" i="1"/>
  <c r="M123" i="1"/>
  <c r="O123" i="1" l="1"/>
  <c r="T122" i="1"/>
  <c r="M124" i="1"/>
  <c r="O124" i="1" l="1"/>
  <c r="T123" i="1"/>
  <c r="M125" i="1"/>
  <c r="O125" i="1" l="1"/>
  <c r="T124" i="1"/>
  <c r="M126" i="1"/>
  <c r="O126" i="1" l="1"/>
  <c r="T125" i="1"/>
  <c r="M127" i="1"/>
  <c r="O127" i="1" l="1"/>
  <c r="T126" i="1"/>
  <c r="M128" i="1"/>
  <c r="O128" i="1" l="1"/>
  <c r="T127" i="1"/>
  <c r="M129" i="1"/>
  <c r="O129" i="1" l="1"/>
  <c r="T128" i="1"/>
  <c r="M130" i="1"/>
  <c r="O130" i="1" l="1"/>
  <c r="T129" i="1"/>
  <c r="M131" i="1"/>
  <c r="O131" i="1" l="1"/>
  <c r="T130" i="1"/>
  <c r="M132" i="1"/>
  <c r="O132" i="1" l="1"/>
  <c r="T131" i="1"/>
  <c r="M133" i="1"/>
  <c r="O133" i="1" l="1"/>
  <c r="T132" i="1"/>
  <c r="M134" i="1"/>
  <c r="O134" i="1" l="1"/>
  <c r="T133" i="1"/>
  <c r="M135" i="1"/>
  <c r="O135" i="1" l="1"/>
  <c r="T134" i="1"/>
  <c r="M136" i="1"/>
  <c r="O136" i="1" l="1"/>
  <c r="T135" i="1"/>
  <c r="M137" i="1"/>
  <c r="O137" i="1" l="1"/>
  <c r="T136" i="1"/>
  <c r="M138" i="1"/>
  <c r="O138" i="1" l="1"/>
  <c r="T137" i="1"/>
  <c r="M139" i="1"/>
  <c r="O139" i="1" l="1"/>
  <c r="T138" i="1"/>
  <c r="M140" i="1"/>
  <c r="O140" i="1" l="1"/>
  <c r="T139" i="1"/>
  <c r="M141" i="1"/>
  <c r="O141" i="1" l="1"/>
  <c r="T140" i="1"/>
  <c r="M142" i="1"/>
  <c r="O142" i="1" l="1"/>
  <c r="T141" i="1"/>
  <c r="M143" i="1"/>
  <c r="O143" i="1" l="1"/>
  <c r="T142" i="1"/>
  <c r="M144" i="1"/>
  <c r="O144" i="1" l="1"/>
  <c r="T143" i="1"/>
  <c r="M145" i="1"/>
  <c r="O145" i="1" l="1"/>
  <c r="T144" i="1"/>
  <c r="M146" i="1"/>
  <c r="O146" i="1" l="1"/>
  <c r="T145" i="1"/>
  <c r="M147" i="1"/>
  <c r="O147" i="1" l="1"/>
  <c r="T146" i="1"/>
  <c r="M148" i="1"/>
  <c r="O148" i="1" l="1"/>
  <c r="T147" i="1"/>
  <c r="M149" i="1"/>
  <c r="O149" i="1" l="1"/>
  <c r="T148" i="1"/>
  <c r="M150" i="1"/>
  <c r="O150" i="1" l="1"/>
  <c r="T149" i="1"/>
  <c r="M151" i="1"/>
  <c r="O151" i="1" l="1"/>
  <c r="T150" i="1"/>
  <c r="M152" i="1"/>
  <c r="O152" i="1" l="1"/>
  <c r="T151" i="1"/>
  <c r="M153" i="1"/>
  <c r="O153" i="1" l="1"/>
  <c r="T152" i="1"/>
  <c r="M154" i="1"/>
  <c r="O154" i="1" l="1"/>
  <c r="T153" i="1"/>
  <c r="M155" i="1"/>
  <c r="O155" i="1" l="1"/>
  <c r="T154" i="1"/>
  <c r="M156" i="1"/>
  <c r="O156" i="1" l="1"/>
  <c r="T155" i="1"/>
  <c r="M157" i="1"/>
  <c r="O157" i="1" l="1"/>
  <c r="T156" i="1"/>
  <c r="M158" i="1"/>
  <c r="O158" i="1" l="1"/>
  <c r="T157" i="1"/>
  <c r="M159" i="1"/>
  <c r="O159" i="1" l="1"/>
  <c r="T158" i="1"/>
  <c r="M160" i="1"/>
  <c r="O160" i="1" l="1"/>
  <c r="T159" i="1"/>
  <c r="M161" i="1"/>
  <c r="O161" i="1" l="1"/>
  <c r="T160" i="1"/>
  <c r="M162" i="1"/>
  <c r="O162" i="1" l="1"/>
  <c r="T161" i="1"/>
  <c r="M163" i="1"/>
  <c r="O163" i="1" l="1"/>
  <c r="T162" i="1"/>
  <c r="M164" i="1"/>
  <c r="O164" i="1" l="1"/>
  <c r="T163" i="1"/>
  <c r="M165" i="1"/>
  <c r="O165" i="1" l="1"/>
  <c r="T164" i="1"/>
  <c r="M166" i="1"/>
  <c r="O166" i="1" l="1"/>
  <c r="T165" i="1"/>
  <c r="M167" i="1"/>
  <c r="O167" i="1" l="1"/>
  <c r="T166" i="1"/>
  <c r="M168" i="1"/>
  <c r="O168" i="1" l="1"/>
  <c r="T167" i="1"/>
  <c r="M169" i="1"/>
  <c r="O169" i="1" l="1"/>
  <c r="T168" i="1"/>
  <c r="M170" i="1"/>
  <c r="O170" i="1" l="1"/>
  <c r="T169" i="1"/>
  <c r="M171" i="1"/>
  <c r="O171" i="1" l="1"/>
  <c r="T170" i="1"/>
  <c r="M172" i="1"/>
  <c r="O172" i="1" l="1"/>
  <c r="T171" i="1"/>
  <c r="M173" i="1"/>
  <c r="O173" i="1" l="1"/>
  <c r="T172" i="1"/>
  <c r="M174" i="1"/>
  <c r="O174" i="1" l="1"/>
  <c r="T173" i="1"/>
  <c r="M175" i="1"/>
  <c r="O175" i="1" l="1"/>
  <c r="T174" i="1"/>
  <c r="M176" i="1"/>
  <c r="O176" i="1" l="1"/>
  <c r="T175" i="1"/>
  <c r="M177" i="1"/>
  <c r="O177" i="1" l="1"/>
  <c r="T176" i="1"/>
  <c r="M178" i="1"/>
  <c r="O178" i="1" l="1"/>
  <c r="T177" i="1"/>
  <c r="M179" i="1"/>
  <c r="O179" i="1" l="1"/>
  <c r="T178" i="1"/>
  <c r="M180" i="1"/>
  <c r="O180" i="1" l="1"/>
  <c r="T179" i="1"/>
  <c r="M181" i="1"/>
  <c r="O181" i="1" l="1"/>
  <c r="T180" i="1"/>
  <c r="M182" i="1"/>
  <c r="O182" i="1" l="1"/>
  <c r="T181" i="1"/>
  <c r="M183" i="1"/>
  <c r="O183" i="1" l="1"/>
  <c r="T182" i="1"/>
  <c r="M184" i="1"/>
  <c r="O184" i="1" l="1"/>
  <c r="T183" i="1"/>
  <c r="M185" i="1"/>
  <c r="O185" i="1" l="1"/>
  <c r="T184" i="1"/>
  <c r="M186" i="1"/>
  <c r="O186" i="1" l="1"/>
  <c r="T185" i="1"/>
  <c r="M187" i="1"/>
  <c r="O187" i="1" l="1"/>
  <c r="T186" i="1"/>
  <c r="M188" i="1"/>
  <c r="O188" i="1" l="1"/>
  <c r="T187" i="1"/>
  <c r="M189" i="1"/>
  <c r="O189" i="1" l="1"/>
  <c r="T188" i="1"/>
  <c r="M190" i="1"/>
  <c r="O190" i="1" l="1"/>
  <c r="T189" i="1"/>
  <c r="M191" i="1"/>
  <c r="O191" i="1" l="1"/>
  <c r="T190" i="1"/>
  <c r="M192" i="1"/>
  <c r="O192" i="1" l="1"/>
  <c r="T191" i="1"/>
  <c r="M193" i="1"/>
  <c r="O193" i="1" l="1"/>
  <c r="T192" i="1"/>
  <c r="M194" i="1"/>
  <c r="O194" i="1" l="1"/>
  <c r="T193" i="1"/>
  <c r="M195" i="1"/>
  <c r="O195" i="1" l="1"/>
  <c r="T194" i="1"/>
  <c r="M196" i="1"/>
  <c r="O196" i="1" l="1"/>
  <c r="T195" i="1"/>
  <c r="M197" i="1"/>
  <c r="O197" i="1" l="1"/>
  <c r="T196" i="1"/>
  <c r="M198" i="1"/>
  <c r="O198" i="1" l="1"/>
  <c r="T197" i="1"/>
  <c r="M199" i="1"/>
  <c r="O199" i="1" l="1"/>
  <c r="T198" i="1"/>
  <c r="M200" i="1"/>
  <c r="O200" i="1" l="1"/>
  <c r="T199" i="1"/>
  <c r="M201" i="1"/>
  <c r="O201" i="1" l="1"/>
  <c r="T200" i="1"/>
  <c r="M202" i="1"/>
  <c r="O202" i="1" l="1"/>
  <c r="T201" i="1"/>
  <c r="M203" i="1"/>
  <c r="O203" i="1" l="1"/>
  <c r="T202" i="1"/>
  <c r="M204" i="1"/>
  <c r="O204" i="1" l="1"/>
  <c r="T203" i="1"/>
  <c r="M205" i="1"/>
  <c r="O205" i="1" l="1"/>
  <c r="T204" i="1"/>
  <c r="M206" i="1"/>
  <c r="O206" i="1" l="1"/>
  <c r="T205" i="1"/>
  <c r="M207" i="1"/>
  <c r="O207" i="1" l="1"/>
  <c r="T206" i="1"/>
  <c r="M208" i="1"/>
  <c r="O208" i="1" l="1"/>
  <c r="T207" i="1"/>
  <c r="M209" i="1"/>
  <c r="O209" i="1" l="1"/>
  <c r="T208" i="1"/>
  <c r="M210" i="1"/>
  <c r="O210" i="1" l="1"/>
  <c r="T209" i="1"/>
  <c r="M211" i="1"/>
  <c r="O211" i="1" l="1"/>
  <c r="T210" i="1"/>
  <c r="M212" i="1"/>
  <c r="O212" i="1" l="1"/>
  <c r="T211" i="1"/>
  <c r="M213" i="1"/>
  <c r="O213" i="1" l="1"/>
  <c r="T212" i="1"/>
  <c r="M214" i="1"/>
  <c r="O214" i="1" l="1"/>
  <c r="T213" i="1"/>
  <c r="M215" i="1"/>
  <c r="O215" i="1" l="1"/>
  <c r="T214" i="1"/>
  <c r="M216" i="1"/>
  <c r="O216" i="1" l="1"/>
  <c r="T215" i="1"/>
  <c r="M217" i="1"/>
  <c r="O217" i="1" l="1"/>
  <c r="T216" i="1"/>
  <c r="M218" i="1"/>
  <c r="O218" i="1" l="1"/>
  <c r="T217" i="1"/>
  <c r="M219" i="1"/>
  <c r="O219" i="1" l="1"/>
  <c r="T218" i="1"/>
  <c r="M220" i="1"/>
  <c r="O220" i="1" l="1"/>
  <c r="T219" i="1"/>
  <c r="M221" i="1"/>
  <c r="O221" i="1" l="1"/>
  <c r="T220" i="1"/>
  <c r="M222" i="1"/>
  <c r="O222" i="1" l="1"/>
  <c r="T221" i="1"/>
  <c r="M223" i="1"/>
  <c r="O223" i="1" l="1"/>
  <c r="T222" i="1"/>
  <c r="M224" i="1"/>
  <c r="O224" i="1" l="1"/>
  <c r="T223" i="1"/>
  <c r="M225" i="1"/>
  <c r="O225" i="1" l="1"/>
  <c r="T224" i="1"/>
  <c r="M226" i="1"/>
  <c r="O226" i="1" l="1"/>
  <c r="T225" i="1"/>
  <c r="M227" i="1"/>
  <c r="O227" i="1" l="1"/>
  <c r="T226" i="1"/>
  <c r="M228" i="1"/>
  <c r="O228" i="1" l="1"/>
  <c r="T227" i="1"/>
  <c r="M229" i="1"/>
  <c r="O229" i="1" l="1"/>
  <c r="T228" i="1"/>
  <c r="M230" i="1"/>
  <c r="O230" i="1" l="1"/>
  <c r="T229" i="1"/>
  <c r="M231" i="1"/>
  <c r="O231" i="1" l="1"/>
  <c r="T230" i="1"/>
  <c r="M232" i="1"/>
  <c r="O232" i="1" l="1"/>
  <c r="T231" i="1"/>
  <c r="M233" i="1"/>
  <c r="O233" i="1" l="1"/>
  <c r="T232" i="1"/>
  <c r="M234" i="1"/>
  <c r="O234" i="1" l="1"/>
  <c r="T233" i="1"/>
  <c r="M235" i="1"/>
  <c r="O235" i="1" l="1"/>
  <c r="T234" i="1"/>
  <c r="M236" i="1"/>
  <c r="O236" i="1" l="1"/>
  <c r="T235" i="1"/>
  <c r="M237" i="1"/>
  <c r="O237" i="1" l="1"/>
  <c r="T236" i="1"/>
  <c r="M238" i="1"/>
  <c r="O238" i="1" l="1"/>
  <c r="T237" i="1"/>
  <c r="M239" i="1"/>
  <c r="O239" i="1" l="1"/>
  <c r="T238" i="1"/>
  <c r="M240" i="1"/>
  <c r="O240" i="1" l="1"/>
  <c r="T239" i="1"/>
  <c r="M241" i="1"/>
  <c r="O241" i="1" l="1"/>
  <c r="T240" i="1"/>
  <c r="M242" i="1"/>
  <c r="O242" i="1" l="1"/>
  <c r="T241" i="1"/>
  <c r="M243" i="1"/>
  <c r="O243" i="1" l="1"/>
  <c r="T242" i="1"/>
  <c r="M244" i="1"/>
  <c r="O244" i="1" l="1"/>
  <c r="T243" i="1"/>
  <c r="M245" i="1"/>
  <c r="O245" i="1" l="1"/>
  <c r="T244" i="1"/>
  <c r="M246" i="1"/>
  <c r="O246" i="1" l="1"/>
  <c r="T245" i="1"/>
  <c r="M247" i="1"/>
  <c r="O247" i="1" l="1"/>
  <c r="T246" i="1"/>
  <c r="M248" i="1"/>
  <c r="O248" i="1" l="1"/>
  <c r="T247" i="1"/>
  <c r="M249" i="1"/>
  <c r="O249" i="1" l="1"/>
  <c r="T248" i="1"/>
  <c r="M250" i="1"/>
  <c r="O250" i="1" l="1"/>
  <c r="T249" i="1"/>
  <c r="M251" i="1"/>
  <c r="O251" i="1" l="1"/>
  <c r="T250" i="1"/>
  <c r="M252" i="1"/>
  <c r="O252" i="1" l="1"/>
  <c r="T251" i="1"/>
  <c r="M253" i="1"/>
  <c r="O253" i="1" l="1"/>
  <c r="T252" i="1"/>
  <c r="M254" i="1"/>
  <c r="O254" i="1" l="1"/>
  <c r="T253" i="1"/>
  <c r="M255" i="1"/>
  <c r="O255" i="1" l="1"/>
  <c r="T254" i="1"/>
  <c r="M256" i="1"/>
  <c r="O256" i="1" l="1"/>
  <c r="T255" i="1"/>
  <c r="M257" i="1"/>
  <c r="O257" i="1" l="1"/>
  <c r="T256" i="1"/>
  <c r="M258" i="1"/>
  <c r="O258" i="1" l="1"/>
  <c r="T257" i="1"/>
  <c r="M259" i="1"/>
  <c r="O259" i="1" l="1"/>
  <c r="T258" i="1"/>
  <c r="M260" i="1"/>
  <c r="O260" i="1" l="1"/>
  <c r="T259" i="1"/>
  <c r="M261" i="1"/>
  <c r="O261" i="1" l="1"/>
  <c r="T260" i="1"/>
  <c r="M262" i="1"/>
  <c r="O262" i="1" l="1"/>
  <c r="T261" i="1"/>
  <c r="M263" i="1"/>
  <c r="O263" i="1" l="1"/>
  <c r="T262" i="1"/>
  <c r="M264" i="1"/>
  <c r="O264" i="1" l="1"/>
  <c r="T263" i="1"/>
  <c r="M265" i="1"/>
  <c r="O265" i="1" l="1"/>
  <c r="T264" i="1"/>
  <c r="M266" i="1"/>
  <c r="O266" i="1" l="1"/>
  <c r="T265" i="1"/>
  <c r="M267" i="1"/>
  <c r="O267" i="1" l="1"/>
  <c r="T266" i="1"/>
  <c r="M268" i="1"/>
  <c r="O268" i="1" l="1"/>
  <c r="T267" i="1"/>
  <c r="M269" i="1"/>
  <c r="O269" i="1" l="1"/>
  <c r="T268" i="1"/>
  <c r="M270" i="1"/>
  <c r="O270" i="1" l="1"/>
  <c r="T269" i="1"/>
  <c r="M271" i="1"/>
  <c r="O271" i="1" l="1"/>
  <c r="T270" i="1"/>
  <c r="M272" i="1"/>
  <c r="O272" i="1" l="1"/>
  <c r="T271" i="1"/>
  <c r="M273" i="1"/>
  <c r="O273" i="1" l="1"/>
  <c r="T272" i="1"/>
  <c r="M274" i="1"/>
  <c r="O274" i="1" l="1"/>
  <c r="T273" i="1"/>
  <c r="M275" i="1"/>
  <c r="O275" i="1" l="1"/>
  <c r="T274" i="1"/>
  <c r="M276" i="1"/>
  <c r="O276" i="1" l="1"/>
  <c r="T275" i="1"/>
  <c r="M277" i="1"/>
  <c r="O277" i="1" l="1"/>
  <c r="T276" i="1"/>
  <c r="M278" i="1"/>
  <c r="O278" i="1" l="1"/>
  <c r="T277" i="1"/>
  <c r="M279" i="1"/>
  <c r="O279" i="1" l="1"/>
  <c r="T278" i="1"/>
  <c r="M280" i="1"/>
  <c r="O280" i="1" l="1"/>
  <c r="T279" i="1"/>
  <c r="M281" i="1"/>
  <c r="O281" i="1" l="1"/>
  <c r="T280" i="1"/>
  <c r="M282" i="1"/>
  <c r="O282" i="1" l="1"/>
  <c r="T281" i="1"/>
  <c r="M283" i="1"/>
  <c r="O283" i="1" l="1"/>
  <c r="T282" i="1"/>
  <c r="M284" i="1"/>
  <c r="O284" i="1" l="1"/>
  <c r="T283" i="1"/>
  <c r="M285" i="1"/>
  <c r="O285" i="1" l="1"/>
  <c r="T284" i="1"/>
  <c r="M286" i="1"/>
  <c r="O286" i="1" l="1"/>
  <c r="T285" i="1"/>
  <c r="M287" i="1"/>
  <c r="O287" i="1" l="1"/>
  <c r="T286" i="1"/>
  <c r="M288" i="1"/>
  <c r="O288" i="1" l="1"/>
  <c r="T287" i="1"/>
  <c r="M289" i="1"/>
  <c r="O289" i="1" l="1"/>
  <c r="T288" i="1"/>
  <c r="M290" i="1"/>
  <c r="O290" i="1" l="1"/>
  <c r="T289" i="1"/>
  <c r="M291" i="1"/>
  <c r="O291" i="1" l="1"/>
  <c r="T290" i="1"/>
  <c r="M292" i="1"/>
  <c r="O292" i="1" l="1"/>
  <c r="T291" i="1"/>
  <c r="M293" i="1"/>
  <c r="O293" i="1" l="1"/>
  <c r="T292" i="1"/>
  <c r="M294" i="1"/>
  <c r="O294" i="1" l="1"/>
  <c r="T293" i="1"/>
  <c r="M295" i="1"/>
  <c r="O295" i="1" l="1"/>
  <c r="T294" i="1"/>
  <c r="M296" i="1"/>
  <c r="O296" i="1" l="1"/>
  <c r="T295" i="1"/>
  <c r="M297" i="1"/>
  <c r="O297" i="1" l="1"/>
  <c r="T296" i="1"/>
  <c r="M298" i="1"/>
  <c r="O298" i="1" l="1"/>
  <c r="T297" i="1"/>
  <c r="M299" i="1"/>
  <c r="O299" i="1" l="1"/>
  <c r="T298" i="1"/>
  <c r="M300" i="1"/>
  <c r="O300" i="1" l="1"/>
  <c r="T299" i="1"/>
  <c r="M301" i="1"/>
  <c r="O301" i="1" l="1"/>
  <c r="T301" i="1" s="1"/>
  <c r="T300" i="1"/>
</calcChain>
</file>

<file path=xl/sharedStrings.xml><?xml version="1.0" encoding="utf-8"?>
<sst xmlns="http://schemas.openxmlformats.org/spreadsheetml/2006/main" count="24" uniqueCount="22">
  <si>
    <t>Millis</t>
  </si>
  <si>
    <t>TI</t>
  </si>
  <si>
    <t>Time (s)</t>
  </si>
  <si>
    <t>Ax</t>
  </si>
  <si>
    <t>Ay</t>
  </si>
  <si>
    <t>Az</t>
  </si>
  <si>
    <t>Cx</t>
  </si>
  <si>
    <t>Cy</t>
  </si>
  <si>
    <t>Cz</t>
  </si>
  <si>
    <t>Vx</t>
  </si>
  <si>
    <t>Vy</t>
  </si>
  <si>
    <t>Vz</t>
  </si>
  <si>
    <t>Dx</t>
  </si>
  <si>
    <t>Dy</t>
  </si>
  <si>
    <t>Dz</t>
  </si>
  <si>
    <t>Threshold</t>
  </si>
  <si>
    <t>e</t>
  </si>
  <si>
    <t xml:space="preserve">Extensometer Displacement </t>
  </si>
  <si>
    <t>Sum</t>
  </si>
  <si>
    <t>Std dev.</t>
  </si>
  <si>
    <t>Ext. Displacement (cm)</t>
  </si>
  <si>
    <t>Trapezoidal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</si>
</sst>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2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Movement tracjectory </a:t>
            </a:r>
            <a:r>
              <a:rPr lang="en-IN" sz="12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of soil</a:t>
            </a:r>
            <a:endParaRPr lang="en-IN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Trapezoidal Method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Sheet1!$R$2:$R$301</c:f>
              <c:numCache>
                <c:formatCode>General</c:formatCode>
                <c:ptCount val="300"/>
                <c:pt idx="0">
                  <c:v>0</c:v>
                </c:pt>
                <c:pt idx="1">
                  <c:v>9.0999999999999998E-2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0.36299999999999999</c:v>
                </c:pt>
                <c:pt idx="5">
                  <c:v>0.45400000000000001</c:v>
                </c:pt>
                <c:pt idx="6">
                  <c:v>0.54500000000000004</c:v>
                </c:pt>
                <c:pt idx="7">
                  <c:v>0.63500000000000001</c:v>
                </c:pt>
                <c:pt idx="8">
                  <c:v>0.72599999999999998</c:v>
                </c:pt>
                <c:pt idx="9">
                  <c:v>0.81599999999999995</c:v>
                </c:pt>
                <c:pt idx="10">
                  <c:v>0.90700000000000003</c:v>
                </c:pt>
                <c:pt idx="11">
                  <c:v>0.998</c:v>
                </c:pt>
                <c:pt idx="12">
                  <c:v>1.089</c:v>
                </c:pt>
                <c:pt idx="13">
                  <c:v>1.18</c:v>
                </c:pt>
                <c:pt idx="14">
                  <c:v>1.27</c:v>
                </c:pt>
                <c:pt idx="15">
                  <c:v>1.361</c:v>
                </c:pt>
                <c:pt idx="16">
                  <c:v>1.452</c:v>
                </c:pt>
                <c:pt idx="17">
                  <c:v>1.542</c:v>
                </c:pt>
                <c:pt idx="18">
                  <c:v>1.633</c:v>
                </c:pt>
                <c:pt idx="19">
                  <c:v>1.7230000000000001</c:v>
                </c:pt>
                <c:pt idx="20">
                  <c:v>1.8149999999999999</c:v>
                </c:pt>
                <c:pt idx="21">
                  <c:v>1.9059999999999999</c:v>
                </c:pt>
                <c:pt idx="22">
                  <c:v>1.996</c:v>
                </c:pt>
                <c:pt idx="23">
                  <c:v>2.0870000000000002</c:v>
                </c:pt>
                <c:pt idx="24">
                  <c:v>2.177</c:v>
                </c:pt>
                <c:pt idx="25">
                  <c:v>2.2679999999999998</c:v>
                </c:pt>
                <c:pt idx="26">
                  <c:v>2.359</c:v>
                </c:pt>
                <c:pt idx="27">
                  <c:v>2.4489999999999998</c:v>
                </c:pt>
                <c:pt idx="28">
                  <c:v>2.5409999999999999</c:v>
                </c:pt>
                <c:pt idx="29">
                  <c:v>2.6309999999999998</c:v>
                </c:pt>
                <c:pt idx="30">
                  <c:v>2.722</c:v>
                </c:pt>
                <c:pt idx="31">
                  <c:v>2.8130000000000002</c:v>
                </c:pt>
                <c:pt idx="32">
                  <c:v>2.903</c:v>
                </c:pt>
                <c:pt idx="33">
                  <c:v>2.9940000000000002</c:v>
                </c:pt>
                <c:pt idx="34">
                  <c:v>3.0840000000000001</c:v>
                </c:pt>
                <c:pt idx="35">
                  <c:v>3.1749999999999998</c:v>
                </c:pt>
                <c:pt idx="36">
                  <c:v>3.2669999999999999</c:v>
                </c:pt>
                <c:pt idx="37">
                  <c:v>3.3570000000000002</c:v>
                </c:pt>
                <c:pt idx="38">
                  <c:v>3.448</c:v>
                </c:pt>
                <c:pt idx="39">
                  <c:v>3.5390000000000001</c:v>
                </c:pt>
                <c:pt idx="40">
                  <c:v>3.629</c:v>
                </c:pt>
                <c:pt idx="41">
                  <c:v>3.72</c:v>
                </c:pt>
                <c:pt idx="42">
                  <c:v>3.81</c:v>
                </c:pt>
                <c:pt idx="43">
                  <c:v>3.9009999999999998</c:v>
                </c:pt>
                <c:pt idx="44">
                  <c:v>3.9929999999999999</c:v>
                </c:pt>
                <c:pt idx="45">
                  <c:v>4.0830000000000002</c:v>
                </c:pt>
                <c:pt idx="46">
                  <c:v>4.1740000000000004</c:v>
                </c:pt>
                <c:pt idx="47">
                  <c:v>4.2640000000000002</c:v>
                </c:pt>
                <c:pt idx="48">
                  <c:v>4.3550000000000004</c:v>
                </c:pt>
                <c:pt idx="49">
                  <c:v>4.4459999999999997</c:v>
                </c:pt>
                <c:pt idx="50">
                  <c:v>4.5359999999999996</c:v>
                </c:pt>
                <c:pt idx="51">
                  <c:v>4.6269999999999998</c:v>
                </c:pt>
                <c:pt idx="52">
                  <c:v>4.718</c:v>
                </c:pt>
                <c:pt idx="53">
                  <c:v>4.8090000000000002</c:v>
                </c:pt>
                <c:pt idx="54">
                  <c:v>4.9000000000000004</c:v>
                </c:pt>
                <c:pt idx="55">
                  <c:v>4.99</c:v>
                </c:pt>
                <c:pt idx="56">
                  <c:v>5.0810000000000004</c:v>
                </c:pt>
                <c:pt idx="57">
                  <c:v>5.1710000000000003</c:v>
                </c:pt>
                <c:pt idx="58">
                  <c:v>5.2619999999999996</c:v>
                </c:pt>
                <c:pt idx="59">
                  <c:v>5.3529999999999998</c:v>
                </c:pt>
                <c:pt idx="60">
                  <c:v>5.444</c:v>
                </c:pt>
                <c:pt idx="61">
                  <c:v>5.5350000000000001</c:v>
                </c:pt>
                <c:pt idx="62">
                  <c:v>5.625</c:v>
                </c:pt>
                <c:pt idx="63">
                  <c:v>5.7160000000000002</c:v>
                </c:pt>
                <c:pt idx="64">
                  <c:v>5.8070000000000004</c:v>
                </c:pt>
                <c:pt idx="65">
                  <c:v>5.8970000000000002</c:v>
                </c:pt>
                <c:pt idx="66">
                  <c:v>5.9880000000000004</c:v>
                </c:pt>
                <c:pt idx="67">
                  <c:v>6.0780000000000003</c:v>
                </c:pt>
                <c:pt idx="68">
                  <c:v>6.17</c:v>
                </c:pt>
                <c:pt idx="69">
                  <c:v>6.2610000000000001</c:v>
                </c:pt>
                <c:pt idx="70">
                  <c:v>6.351</c:v>
                </c:pt>
                <c:pt idx="71">
                  <c:v>6.4420000000000002</c:v>
                </c:pt>
                <c:pt idx="72">
                  <c:v>6.532</c:v>
                </c:pt>
                <c:pt idx="73">
                  <c:v>6.6230000000000002</c:v>
                </c:pt>
                <c:pt idx="74">
                  <c:v>6.7140000000000004</c:v>
                </c:pt>
                <c:pt idx="75">
                  <c:v>6.8049999999999997</c:v>
                </c:pt>
                <c:pt idx="76">
                  <c:v>6.8959999999999999</c:v>
                </c:pt>
                <c:pt idx="77">
                  <c:v>6.9859999999999998</c:v>
                </c:pt>
                <c:pt idx="78">
                  <c:v>7.077</c:v>
                </c:pt>
                <c:pt idx="79">
                  <c:v>7.1680000000000001</c:v>
                </c:pt>
                <c:pt idx="80">
                  <c:v>7.258</c:v>
                </c:pt>
                <c:pt idx="81">
                  <c:v>7.3490000000000002</c:v>
                </c:pt>
                <c:pt idx="82">
                  <c:v>7.4390000000000001</c:v>
                </c:pt>
                <c:pt idx="83">
                  <c:v>7.5309999999999997</c:v>
                </c:pt>
                <c:pt idx="84">
                  <c:v>7.6219999999999999</c:v>
                </c:pt>
                <c:pt idx="85">
                  <c:v>7.7119999999999997</c:v>
                </c:pt>
                <c:pt idx="86">
                  <c:v>7.8029999999999999</c:v>
                </c:pt>
                <c:pt idx="87">
                  <c:v>7.8929999999999998</c:v>
                </c:pt>
                <c:pt idx="88">
                  <c:v>7.984</c:v>
                </c:pt>
                <c:pt idx="89">
                  <c:v>8.0749999999999993</c:v>
                </c:pt>
                <c:pt idx="90">
                  <c:v>8.1649999999999991</c:v>
                </c:pt>
                <c:pt idx="91">
                  <c:v>8.2569999999999997</c:v>
                </c:pt>
                <c:pt idx="92">
                  <c:v>8.3469999999999995</c:v>
                </c:pt>
                <c:pt idx="93">
                  <c:v>8.4380000000000006</c:v>
                </c:pt>
                <c:pt idx="94">
                  <c:v>8.5289999999999999</c:v>
                </c:pt>
                <c:pt idx="95">
                  <c:v>8.6189999999999998</c:v>
                </c:pt>
                <c:pt idx="96">
                  <c:v>8.7100000000000009</c:v>
                </c:pt>
                <c:pt idx="97">
                  <c:v>8.8000000000000007</c:v>
                </c:pt>
                <c:pt idx="98">
                  <c:v>8.891</c:v>
                </c:pt>
                <c:pt idx="99">
                  <c:v>8.9830000000000005</c:v>
                </c:pt>
                <c:pt idx="100">
                  <c:v>9.0730000000000004</c:v>
                </c:pt>
                <c:pt idx="101">
                  <c:v>9.1639999999999997</c:v>
                </c:pt>
                <c:pt idx="102">
                  <c:v>9.2539999999999996</c:v>
                </c:pt>
                <c:pt idx="103">
                  <c:v>9.3450000000000006</c:v>
                </c:pt>
                <c:pt idx="104">
                  <c:v>9.4359999999999999</c:v>
                </c:pt>
                <c:pt idx="105">
                  <c:v>9.5259999999999998</c:v>
                </c:pt>
                <c:pt idx="106">
                  <c:v>9.6170000000000009</c:v>
                </c:pt>
                <c:pt idx="107">
                  <c:v>9.7080000000000002</c:v>
                </c:pt>
                <c:pt idx="108">
                  <c:v>9.7989999999999995</c:v>
                </c:pt>
                <c:pt idx="109">
                  <c:v>9.89</c:v>
                </c:pt>
                <c:pt idx="110">
                  <c:v>9.98</c:v>
                </c:pt>
                <c:pt idx="111">
                  <c:v>10.071</c:v>
                </c:pt>
                <c:pt idx="112">
                  <c:v>10.162000000000001</c:v>
                </c:pt>
                <c:pt idx="113">
                  <c:v>10.252000000000001</c:v>
                </c:pt>
                <c:pt idx="114">
                  <c:v>10.343</c:v>
                </c:pt>
                <c:pt idx="115">
                  <c:v>10.433999999999999</c:v>
                </c:pt>
                <c:pt idx="116">
                  <c:v>10.525</c:v>
                </c:pt>
                <c:pt idx="117">
                  <c:v>10.616</c:v>
                </c:pt>
                <c:pt idx="118">
                  <c:v>10.706</c:v>
                </c:pt>
                <c:pt idx="119">
                  <c:v>10.797000000000001</c:v>
                </c:pt>
                <c:pt idx="120">
                  <c:v>10.887</c:v>
                </c:pt>
                <c:pt idx="121">
                  <c:v>10.978</c:v>
                </c:pt>
                <c:pt idx="122">
                  <c:v>11.069000000000001</c:v>
                </c:pt>
                <c:pt idx="123">
                  <c:v>11.16</c:v>
                </c:pt>
                <c:pt idx="124">
                  <c:v>11.250999999999999</c:v>
                </c:pt>
                <c:pt idx="125">
                  <c:v>11.340999999999999</c:v>
                </c:pt>
                <c:pt idx="126">
                  <c:v>11.432</c:v>
                </c:pt>
                <c:pt idx="127">
                  <c:v>11.523</c:v>
                </c:pt>
                <c:pt idx="128">
                  <c:v>11.613</c:v>
                </c:pt>
                <c:pt idx="129">
                  <c:v>11.704000000000001</c:v>
                </c:pt>
                <c:pt idx="130">
                  <c:v>11.794</c:v>
                </c:pt>
                <c:pt idx="131">
                  <c:v>11.885999999999999</c:v>
                </c:pt>
                <c:pt idx="132">
                  <c:v>11.977</c:v>
                </c:pt>
                <c:pt idx="133">
                  <c:v>12.067</c:v>
                </c:pt>
                <c:pt idx="134">
                  <c:v>12.157999999999999</c:v>
                </c:pt>
                <c:pt idx="135">
                  <c:v>12.247999999999999</c:v>
                </c:pt>
                <c:pt idx="136">
                  <c:v>12.339</c:v>
                </c:pt>
                <c:pt idx="137">
                  <c:v>12.43</c:v>
                </c:pt>
                <c:pt idx="138">
                  <c:v>12.52</c:v>
                </c:pt>
                <c:pt idx="139">
                  <c:v>12.612</c:v>
                </c:pt>
                <c:pt idx="140">
                  <c:v>12.702999999999999</c:v>
                </c:pt>
                <c:pt idx="141">
                  <c:v>12.792999999999999</c:v>
                </c:pt>
                <c:pt idx="142">
                  <c:v>12.884</c:v>
                </c:pt>
                <c:pt idx="143">
                  <c:v>12.974</c:v>
                </c:pt>
                <c:pt idx="144">
                  <c:v>13.065</c:v>
                </c:pt>
                <c:pt idx="145">
                  <c:v>13.156000000000001</c:v>
                </c:pt>
                <c:pt idx="146">
                  <c:v>13.246</c:v>
                </c:pt>
                <c:pt idx="147">
                  <c:v>13.337999999999999</c:v>
                </c:pt>
                <c:pt idx="148">
                  <c:v>13.428000000000001</c:v>
                </c:pt>
                <c:pt idx="149">
                  <c:v>13.519</c:v>
                </c:pt>
                <c:pt idx="150">
                  <c:v>13.61</c:v>
                </c:pt>
                <c:pt idx="151">
                  <c:v>13.7</c:v>
                </c:pt>
                <c:pt idx="152">
                  <c:v>13.791</c:v>
                </c:pt>
                <c:pt idx="153">
                  <c:v>13.882</c:v>
                </c:pt>
                <c:pt idx="154">
                  <c:v>13.973000000000001</c:v>
                </c:pt>
                <c:pt idx="155">
                  <c:v>14.064</c:v>
                </c:pt>
                <c:pt idx="156">
                  <c:v>14.154</c:v>
                </c:pt>
                <c:pt idx="157">
                  <c:v>14.244999999999999</c:v>
                </c:pt>
                <c:pt idx="158">
                  <c:v>14.336</c:v>
                </c:pt>
                <c:pt idx="159">
                  <c:v>14.426</c:v>
                </c:pt>
                <c:pt idx="160">
                  <c:v>14.516999999999999</c:v>
                </c:pt>
                <c:pt idx="161">
                  <c:v>14.606999999999999</c:v>
                </c:pt>
                <c:pt idx="162">
                  <c:v>14.699</c:v>
                </c:pt>
                <c:pt idx="163">
                  <c:v>14.79</c:v>
                </c:pt>
                <c:pt idx="164">
                  <c:v>14.88</c:v>
                </c:pt>
                <c:pt idx="165">
                  <c:v>14.971</c:v>
                </c:pt>
                <c:pt idx="166">
                  <c:v>15.061999999999999</c:v>
                </c:pt>
                <c:pt idx="167">
                  <c:v>15.151999999999999</c:v>
                </c:pt>
                <c:pt idx="168">
                  <c:v>15.243</c:v>
                </c:pt>
                <c:pt idx="169">
                  <c:v>15.333</c:v>
                </c:pt>
                <c:pt idx="170">
                  <c:v>15.425000000000001</c:v>
                </c:pt>
                <c:pt idx="171">
                  <c:v>15.516</c:v>
                </c:pt>
                <c:pt idx="172">
                  <c:v>15.606</c:v>
                </c:pt>
                <c:pt idx="173">
                  <c:v>15.696999999999999</c:v>
                </c:pt>
                <c:pt idx="174">
                  <c:v>15.787000000000001</c:v>
                </c:pt>
                <c:pt idx="175">
                  <c:v>15.878</c:v>
                </c:pt>
                <c:pt idx="176">
                  <c:v>15.968999999999999</c:v>
                </c:pt>
                <c:pt idx="177">
                  <c:v>16.059000000000001</c:v>
                </c:pt>
                <c:pt idx="178">
                  <c:v>16.151</c:v>
                </c:pt>
                <c:pt idx="179">
                  <c:v>16.242000000000001</c:v>
                </c:pt>
                <c:pt idx="180">
                  <c:v>16.332000000000001</c:v>
                </c:pt>
                <c:pt idx="181">
                  <c:v>16.422999999999998</c:v>
                </c:pt>
                <c:pt idx="182">
                  <c:v>16.513000000000002</c:v>
                </c:pt>
                <c:pt idx="183">
                  <c:v>16.603999999999999</c:v>
                </c:pt>
                <c:pt idx="184">
                  <c:v>16.695</c:v>
                </c:pt>
                <c:pt idx="185">
                  <c:v>16.785</c:v>
                </c:pt>
                <c:pt idx="186">
                  <c:v>16.876999999999999</c:v>
                </c:pt>
                <c:pt idx="187">
                  <c:v>16.966999999999999</c:v>
                </c:pt>
                <c:pt idx="188">
                  <c:v>17.058</c:v>
                </c:pt>
                <c:pt idx="189">
                  <c:v>17.149000000000001</c:v>
                </c:pt>
                <c:pt idx="190">
                  <c:v>17.239000000000001</c:v>
                </c:pt>
                <c:pt idx="191">
                  <c:v>17.329999999999998</c:v>
                </c:pt>
                <c:pt idx="192">
                  <c:v>17.420999999999999</c:v>
                </c:pt>
                <c:pt idx="193">
                  <c:v>17.510999999999999</c:v>
                </c:pt>
                <c:pt idx="194">
                  <c:v>17.603000000000002</c:v>
                </c:pt>
                <c:pt idx="195">
                  <c:v>17.693000000000001</c:v>
                </c:pt>
                <c:pt idx="196">
                  <c:v>17.783999999999999</c:v>
                </c:pt>
                <c:pt idx="197">
                  <c:v>17.875</c:v>
                </c:pt>
                <c:pt idx="198">
                  <c:v>17.965</c:v>
                </c:pt>
                <c:pt idx="199">
                  <c:v>18.056000000000001</c:v>
                </c:pt>
                <c:pt idx="200">
                  <c:v>18.146000000000001</c:v>
                </c:pt>
                <c:pt idx="201">
                  <c:v>18.236999999999998</c:v>
                </c:pt>
                <c:pt idx="202">
                  <c:v>18.329000000000001</c:v>
                </c:pt>
                <c:pt idx="203">
                  <c:v>18.419</c:v>
                </c:pt>
                <c:pt idx="204">
                  <c:v>18.510000000000002</c:v>
                </c:pt>
                <c:pt idx="205">
                  <c:v>18.600000000000001</c:v>
                </c:pt>
                <c:pt idx="206">
                  <c:v>18.690999999999999</c:v>
                </c:pt>
                <c:pt idx="207">
                  <c:v>18.782</c:v>
                </c:pt>
                <c:pt idx="208">
                  <c:v>18.872</c:v>
                </c:pt>
                <c:pt idx="209">
                  <c:v>18.963000000000001</c:v>
                </c:pt>
                <c:pt idx="210">
                  <c:v>19.053999999999998</c:v>
                </c:pt>
                <c:pt idx="211">
                  <c:v>19.145</c:v>
                </c:pt>
                <c:pt idx="212">
                  <c:v>19.236000000000001</c:v>
                </c:pt>
                <c:pt idx="213">
                  <c:v>19.326000000000001</c:v>
                </c:pt>
                <c:pt idx="214">
                  <c:v>19.417000000000002</c:v>
                </c:pt>
                <c:pt idx="215">
                  <c:v>19.507000000000001</c:v>
                </c:pt>
                <c:pt idx="216">
                  <c:v>19.597999999999999</c:v>
                </c:pt>
                <c:pt idx="217">
                  <c:v>19.689</c:v>
                </c:pt>
                <c:pt idx="218">
                  <c:v>19.78</c:v>
                </c:pt>
                <c:pt idx="219">
                  <c:v>19.870999999999999</c:v>
                </c:pt>
                <c:pt idx="220">
                  <c:v>19.960999999999999</c:v>
                </c:pt>
                <c:pt idx="221">
                  <c:v>20.052</c:v>
                </c:pt>
                <c:pt idx="222">
                  <c:v>20.143000000000001</c:v>
                </c:pt>
                <c:pt idx="223">
                  <c:v>20.233000000000001</c:v>
                </c:pt>
                <c:pt idx="224">
                  <c:v>20.324000000000002</c:v>
                </c:pt>
                <c:pt idx="225">
                  <c:v>20.416</c:v>
                </c:pt>
                <c:pt idx="226">
                  <c:v>20.506</c:v>
                </c:pt>
                <c:pt idx="227">
                  <c:v>20.597000000000001</c:v>
                </c:pt>
                <c:pt idx="228">
                  <c:v>20.687000000000001</c:v>
                </c:pt>
                <c:pt idx="229">
                  <c:v>20.777999999999999</c:v>
                </c:pt>
                <c:pt idx="230">
                  <c:v>20.869</c:v>
                </c:pt>
                <c:pt idx="231">
                  <c:v>20.959</c:v>
                </c:pt>
                <c:pt idx="232">
                  <c:v>21.05</c:v>
                </c:pt>
                <c:pt idx="233">
                  <c:v>21.140999999999998</c:v>
                </c:pt>
                <c:pt idx="234">
                  <c:v>21.231999999999999</c:v>
                </c:pt>
                <c:pt idx="235">
                  <c:v>21.323</c:v>
                </c:pt>
                <c:pt idx="236">
                  <c:v>21.413</c:v>
                </c:pt>
                <c:pt idx="237">
                  <c:v>21.504000000000001</c:v>
                </c:pt>
                <c:pt idx="238">
                  <c:v>21.594999999999999</c:v>
                </c:pt>
                <c:pt idx="239">
                  <c:v>21.684999999999999</c:v>
                </c:pt>
                <c:pt idx="240">
                  <c:v>21.776</c:v>
                </c:pt>
                <c:pt idx="241">
                  <c:v>21.867000000000001</c:v>
                </c:pt>
                <c:pt idx="242">
                  <c:v>21.957999999999998</c:v>
                </c:pt>
                <c:pt idx="243">
                  <c:v>22.048999999999999</c:v>
                </c:pt>
                <c:pt idx="244">
                  <c:v>22.138999999999999</c:v>
                </c:pt>
                <c:pt idx="245">
                  <c:v>22.23</c:v>
                </c:pt>
                <c:pt idx="246">
                  <c:v>22.32</c:v>
                </c:pt>
                <c:pt idx="247">
                  <c:v>22.411000000000001</c:v>
                </c:pt>
                <c:pt idx="248">
                  <c:v>22.501999999999999</c:v>
                </c:pt>
                <c:pt idx="249">
                  <c:v>22.593</c:v>
                </c:pt>
                <c:pt idx="250">
                  <c:v>22.684000000000001</c:v>
                </c:pt>
                <c:pt idx="251">
                  <c:v>22.774000000000001</c:v>
                </c:pt>
                <c:pt idx="252">
                  <c:v>22.864999999999998</c:v>
                </c:pt>
                <c:pt idx="253">
                  <c:v>22.956</c:v>
                </c:pt>
                <c:pt idx="254">
                  <c:v>23.045999999999999</c:v>
                </c:pt>
                <c:pt idx="255">
                  <c:v>23.137</c:v>
                </c:pt>
                <c:pt idx="256">
                  <c:v>23.227</c:v>
                </c:pt>
                <c:pt idx="257">
                  <c:v>23.318999999999999</c:v>
                </c:pt>
                <c:pt idx="258">
                  <c:v>23.41</c:v>
                </c:pt>
                <c:pt idx="259">
                  <c:v>23.5</c:v>
                </c:pt>
                <c:pt idx="260">
                  <c:v>23.591000000000001</c:v>
                </c:pt>
                <c:pt idx="261">
                  <c:v>23.681000000000001</c:v>
                </c:pt>
                <c:pt idx="262">
                  <c:v>23.771999999999998</c:v>
                </c:pt>
                <c:pt idx="263">
                  <c:v>23.863</c:v>
                </c:pt>
                <c:pt idx="264">
                  <c:v>23.952999999999999</c:v>
                </c:pt>
                <c:pt idx="265">
                  <c:v>24.045000000000002</c:v>
                </c:pt>
                <c:pt idx="266">
                  <c:v>24.135999999999999</c:v>
                </c:pt>
                <c:pt idx="267">
                  <c:v>24.225999999999999</c:v>
                </c:pt>
                <c:pt idx="268">
                  <c:v>24.317</c:v>
                </c:pt>
                <c:pt idx="269">
                  <c:v>24.407</c:v>
                </c:pt>
                <c:pt idx="270">
                  <c:v>24.498000000000001</c:v>
                </c:pt>
                <c:pt idx="271">
                  <c:v>24.588999999999999</c:v>
                </c:pt>
                <c:pt idx="272">
                  <c:v>24.678999999999998</c:v>
                </c:pt>
                <c:pt idx="273">
                  <c:v>24.771000000000001</c:v>
                </c:pt>
                <c:pt idx="274">
                  <c:v>24.861000000000001</c:v>
                </c:pt>
                <c:pt idx="275">
                  <c:v>24.952000000000002</c:v>
                </c:pt>
                <c:pt idx="276">
                  <c:v>25.042999999999999</c:v>
                </c:pt>
                <c:pt idx="277">
                  <c:v>25.132999999999999</c:v>
                </c:pt>
                <c:pt idx="278">
                  <c:v>25.224</c:v>
                </c:pt>
                <c:pt idx="279">
                  <c:v>25.314</c:v>
                </c:pt>
                <c:pt idx="280">
                  <c:v>25.405000000000001</c:v>
                </c:pt>
                <c:pt idx="281">
                  <c:v>25.497</c:v>
                </c:pt>
                <c:pt idx="282">
                  <c:v>25.587</c:v>
                </c:pt>
                <c:pt idx="283">
                  <c:v>25.678000000000001</c:v>
                </c:pt>
                <c:pt idx="284">
                  <c:v>25.768000000000001</c:v>
                </c:pt>
                <c:pt idx="285">
                  <c:v>25.859000000000002</c:v>
                </c:pt>
                <c:pt idx="286">
                  <c:v>25.95</c:v>
                </c:pt>
                <c:pt idx="287">
                  <c:v>26.04</c:v>
                </c:pt>
                <c:pt idx="288">
                  <c:v>26.131</c:v>
                </c:pt>
                <c:pt idx="289">
                  <c:v>26.222000000000001</c:v>
                </c:pt>
                <c:pt idx="290">
                  <c:v>26.312999999999999</c:v>
                </c:pt>
                <c:pt idx="291">
                  <c:v>26.404</c:v>
                </c:pt>
                <c:pt idx="292">
                  <c:v>26.494</c:v>
                </c:pt>
                <c:pt idx="293">
                  <c:v>26.585000000000001</c:v>
                </c:pt>
                <c:pt idx="294">
                  <c:v>26.675000000000001</c:v>
                </c:pt>
                <c:pt idx="295">
                  <c:v>26.765999999999998</c:v>
                </c:pt>
                <c:pt idx="296">
                  <c:v>26.856999999999999</c:v>
                </c:pt>
                <c:pt idx="297">
                  <c:v>26.948</c:v>
                </c:pt>
                <c:pt idx="298">
                  <c:v>27.039000000000001</c:v>
                </c:pt>
                <c:pt idx="299">
                  <c:v>27.129000000000001</c:v>
                </c:pt>
              </c:numCache>
            </c:numRef>
          </c:xVal>
          <c:yVal>
            <c:numRef>
              <c:f>Sheet1!$T$2:$T$301</c:f>
              <c:numCache>
                <c:formatCode>General</c:formatCode>
                <c:ptCount val="3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3.1073003324999999</c:v>
                </c:pt>
                <c:pt idx="95">
                  <c:v>6.1804545075000004</c:v>
                </c:pt>
                <c:pt idx="96">
                  <c:v>6.1804545075000004</c:v>
                </c:pt>
                <c:pt idx="97">
                  <c:v>6.1804545075000004</c:v>
                </c:pt>
                <c:pt idx="98">
                  <c:v>6.1804545075000004</c:v>
                </c:pt>
                <c:pt idx="99">
                  <c:v>6.1804545075000004</c:v>
                </c:pt>
                <c:pt idx="100">
                  <c:v>6.1804545075000004</c:v>
                </c:pt>
                <c:pt idx="101">
                  <c:v>6.1804545075000004</c:v>
                </c:pt>
                <c:pt idx="102">
                  <c:v>6.1804545075000004</c:v>
                </c:pt>
                <c:pt idx="103">
                  <c:v>6.1804545075000004</c:v>
                </c:pt>
                <c:pt idx="104">
                  <c:v>6.1804545075000004</c:v>
                </c:pt>
                <c:pt idx="105">
                  <c:v>6.1804545075000004</c:v>
                </c:pt>
                <c:pt idx="106">
                  <c:v>6.1804545075000004</c:v>
                </c:pt>
                <c:pt idx="107">
                  <c:v>6.1804545075000004</c:v>
                </c:pt>
                <c:pt idx="108">
                  <c:v>6.1804545075000004</c:v>
                </c:pt>
                <c:pt idx="109">
                  <c:v>6.1804545075000004</c:v>
                </c:pt>
                <c:pt idx="110">
                  <c:v>6.1804545075000004</c:v>
                </c:pt>
                <c:pt idx="111">
                  <c:v>6.1804545075000004</c:v>
                </c:pt>
                <c:pt idx="112">
                  <c:v>6.1804545075000004</c:v>
                </c:pt>
                <c:pt idx="113">
                  <c:v>6.1804545075000004</c:v>
                </c:pt>
                <c:pt idx="114">
                  <c:v>6.1804545075000004</c:v>
                </c:pt>
                <c:pt idx="115">
                  <c:v>6.1804545075000004</c:v>
                </c:pt>
                <c:pt idx="116">
                  <c:v>6.1804545075000004</c:v>
                </c:pt>
                <c:pt idx="117">
                  <c:v>6.1804545075000004</c:v>
                </c:pt>
                <c:pt idx="118">
                  <c:v>6.1804545075000004</c:v>
                </c:pt>
                <c:pt idx="119">
                  <c:v>6.1804545075000004</c:v>
                </c:pt>
                <c:pt idx="120">
                  <c:v>6.1804545075000004</c:v>
                </c:pt>
                <c:pt idx="121">
                  <c:v>6.1804545075000004</c:v>
                </c:pt>
                <c:pt idx="122">
                  <c:v>6.1804545075000004</c:v>
                </c:pt>
                <c:pt idx="123">
                  <c:v>6.1804545075000004</c:v>
                </c:pt>
                <c:pt idx="124">
                  <c:v>6.1804545075000004</c:v>
                </c:pt>
                <c:pt idx="125">
                  <c:v>6.1804545075000004</c:v>
                </c:pt>
                <c:pt idx="126">
                  <c:v>6.1804545075000004</c:v>
                </c:pt>
                <c:pt idx="127">
                  <c:v>6.1804545075000004</c:v>
                </c:pt>
                <c:pt idx="128">
                  <c:v>6.1804545075000004</c:v>
                </c:pt>
                <c:pt idx="129">
                  <c:v>6.1804545075000004</c:v>
                </c:pt>
                <c:pt idx="130">
                  <c:v>6.1804545075000004</c:v>
                </c:pt>
                <c:pt idx="131">
                  <c:v>9.2733905475</c:v>
                </c:pt>
                <c:pt idx="132">
                  <c:v>12.3327077175</c:v>
                </c:pt>
                <c:pt idx="133">
                  <c:v>12.3327077175</c:v>
                </c:pt>
                <c:pt idx="134">
                  <c:v>12.3327077175</c:v>
                </c:pt>
                <c:pt idx="135">
                  <c:v>12.3327077175</c:v>
                </c:pt>
                <c:pt idx="136">
                  <c:v>12.3327077175</c:v>
                </c:pt>
                <c:pt idx="137">
                  <c:v>15.399389745000001</c:v>
                </c:pt>
                <c:pt idx="138">
                  <c:v>18.432371969999998</c:v>
                </c:pt>
                <c:pt idx="139">
                  <c:v>18.432371969999998</c:v>
                </c:pt>
                <c:pt idx="140">
                  <c:v>18.432371969999998</c:v>
                </c:pt>
                <c:pt idx="141">
                  <c:v>18.432371969999998</c:v>
                </c:pt>
                <c:pt idx="142">
                  <c:v>18.432371969999998</c:v>
                </c:pt>
                <c:pt idx="143">
                  <c:v>18.432371969999998</c:v>
                </c:pt>
                <c:pt idx="144">
                  <c:v>18.432371969999998</c:v>
                </c:pt>
                <c:pt idx="145">
                  <c:v>21.499053997499999</c:v>
                </c:pt>
                <c:pt idx="146">
                  <c:v>30.564671197499997</c:v>
                </c:pt>
                <c:pt idx="147">
                  <c:v>36.731364727500001</c:v>
                </c:pt>
                <c:pt idx="148">
                  <c:v>36.731364727500001</c:v>
                </c:pt>
                <c:pt idx="149">
                  <c:v>36.731364727500001</c:v>
                </c:pt>
                <c:pt idx="150">
                  <c:v>36.731364727500001</c:v>
                </c:pt>
                <c:pt idx="151">
                  <c:v>36.731364727500001</c:v>
                </c:pt>
                <c:pt idx="152">
                  <c:v>36.731364727500001</c:v>
                </c:pt>
                <c:pt idx="153">
                  <c:v>39.798046755000001</c:v>
                </c:pt>
                <c:pt idx="154">
                  <c:v>42.864728782500002</c:v>
                </c:pt>
                <c:pt idx="155">
                  <c:v>42.864728782500002</c:v>
                </c:pt>
                <c:pt idx="156">
                  <c:v>42.864728782500002</c:v>
                </c:pt>
                <c:pt idx="157">
                  <c:v>42.864728782500002</c:v>
                </c:pt>
                <c:pt idx="158">
                  <c:v>42.864728782500002</c:v>
                </c:pt>
                <c:pt idx="159">
                  <c:v>42.864728782500002</c:v>
                </c:pt>
                <c:pt idx="160">
                  <c:v>42.864728782500002</c:v>
                </c:pt>
                <c:pt idx="161">
                  <c:v>42.864728782500002</c:v>
                </c:pt>
                <c:pt idx="162">
                  <c:v>42.864728782500002</c:v>
                </c:pt>
                <c:pt idx="163">
                  <c:v>42.864728782500002</c:v>
                </c:pt>
                <c:pt idx="164">
                  <c:v>42.864728782500002</c:v>
                </c:pt>
                <c:pt idx="165">
                  <c:v>42.864728782500002</c:v>
                </c:pt>
                <c:pt idx="166">
                  <c:v>42.864728782500002</c:v>
                </c:pt>
                <c:pt idx="167">
                  <c:v>42.864728782500002</c:v>
                </c:pt>
                <c:pt idx="168">
                  <c:v>42.864728782500002</c:v>
                </c:pt>
                <c:pt idx="169">
                  <c:v>42.864728782500002</c:v>
                </c:pt>
                <c:pt idx="170">
                  <c:v>42.864728782500002</c:v>
                </c:pt>
                <c:pt idx="171">
                  <c:v>42.864728782500002</c:v>
                </c:pt>
                <c:pt idx="172">
                  <c:v>42.864728782500002</c:v>
                </c:pt>
                <c:pt idx="173">
                  <c:v>42.864728782500002</c:v>
                </c:pt>
                <c:pt idx="174">
                  <c:v>42.864728782500002</c:v>
                </c:pt>
                <c:pt idx="175">
                  <c:v>42.864728782500002</c:v>
                </c:pt>
                <c:pt idx="176">
                  <c:v>42.864728782500002</c:v>
                </c:pt>
                <c:pt idx="177">
                  <c:v>42.864728782500002</c:v>
                </c:pt>
                <c:pt idx="178">
                  <c:v>42.864728782500002</c:v>
                </c:pt>
                <c:pt idx="179">
                  <c:v>42.864728782500002</c:v>
                </c:pt>
                <c:pt idx="180">
                  <c:v>42.864728782500002</c:v>
                </c:pt>
                <c:pt idx="181">
                  <c:v>42.864728782500002</c:v>
                </c:pt>
                <c:pt idx="182">
                  <c:v>42.864728782500002</c:v>
                </c:pt>
                <c:pt idx="183">
                  <c:v>42.864728782500002</c:v>
                </c:pt>
                <c:pt idx="184">
                  <c:v>42.864728782500002</c:v>
                </c:pt>
                <c:pt idx="185">
                  <c:v>42.864728782500002</c:v>
                </c:pt>
                <c:pt idx="186">
                  <c:v>42.864728782500002</c:v>
                </c:pt>
                <c:pt idx="187">
                  <c:v>42.864728782500002</c:v>
                </c:pt>
                <c:pt idx="188">
                  <c:v>42.864728782500002</c:v>
                </c:pt>
                <c:pt idx="189">
                  <c:v>42.864728782500002</c:v>
                </c:pt>
                <c:pt idx="190">
                  <c:v>42.864728782500002</c:v>
                </c:pt>
                <c:pt idx="191">
                  <c:v>42.864728782500002</c:v>
                </c:pt>
                <c:pt idx="192">
                  <c:v>42.864728782500002</c:v>
                </c:pt>
                <c:pt idx="193">
                  <c:v>42.864728782500002</c:v>
                </c:pt>
                <c:pt idx="194">
                  <c:v>42.864728782500002</c:v>
                </c:pt>
                <c:pt idx="195">
                  <c:v>42.864728782500002</c:v>
                </c:pt>
                <c:pt idx="196">
                  <c:v>42.864728782500002</c:v>
                </c:pt>
                <c:pt idx="197">
                  <c:v>42.864728782500002</c:v>
                </c:pt>
                <c:pt idx="198">
                  <c:v>42.864728782500002</c:v>
                </c:pt>
                <c:pt idx="199">
                  <c:v>42.864728782500002</c:v>
                </c:pt>
                <c:pt idx="200">
                  <c:v>42.864728782500002</c:v>
                </c:pt>
                <c:pt idx="201">
                  <c:v>42.864728782500002</c:v>
                </c:pt>
                <c:pt idx="202">
                  <c:v>42.864728782500002</c:v>
                </c:pt>
                <c:pt idx="203">
                  <c:v>42.864728782500002</c:v>
                </c:pt>
                <c:pt idx="204">
                  <c:v>42.864728782500002</c:v>
                </c:pt>
                <c:pt idx="205">
                  <c:v>42.864728782500002</c:v>
                </c:pt>
                <c:pt idx="206">
                  <c:v>42.864728782500002</c:v>
                </c:pt>
                <c:pt idx="207">
                  <c:v>42.864728782500002</c:v>
                </c:pt>
                <c:pt idx="208">
                  <c:v>42.864728782500002</c:v>
                </c:pt>
                <c:pt idx="209">
                  <c:v>42.864728782500002</c:v>
                </c:pt>
                <c:pt idx="210">
                  <c:v>42.864728782500002</c:v>
                </c:pt>
                <c:pt idx="211">
                  <c:v>42.864728782500002</c:v>
                </c:pt>
                <c:pt idx="212">
                  <c:v>42.864728782500002</c:v>
                </c:pt>
                <c:pt idx="213">
                  <c:v>42.864728782500002</c:v>
                </c:pt>
                <c:pt idx="214">
                  <c:v>42.864728782500002</c:v>
                </c:pt>
                <c:pt idx="215">
                  <c:v>42.864728782500002</c:v>
                </c:pt>
                <c:pt idx="216">
                  <c:v>42.864728782500002</c:v>
                </c:pt>
                <c:pt idx="217">
                  <c:v>42.864728782500002</c:v>
                </c:pt>
                <c:pt idx="218">
                  <c:v>42.864728782500002</c:v>
                </c:pt>
                <c:pt idx="219">
                  <c:v>42.864728782500002</c:v>
                </c:pt>
                <c:pt idx="220">
                  <c:v>42.864728782500002</c:v>
                </c:pt>
                <c:pt idx="221">
                  <c:v>42.864728782500002</c:v>
                </c:pt>
                <c:pt idx="222">
                  <c:v>42.864728782500002</c:v>
                </c:pt>
                <c:pt idx="223">
                  <c:v>42.864728782500002</c:v>
                </c:pt>
                <c:pt idx="224">
                  <c:v>42.864728782500002</c:v>
                </c:pt>
                <c:pt idx="225">
                  <c:v>42.864728782500002</c:v>
                </c:pt>
                <c:pt idx="226">
                  <c:v>42.864728782500002</c:v>
                </c:pt>
                <c:pt idx="227">
                  <c:v>42.864728782500002</c:v>
                </c:pt>
                <c:pt idx="228">
                  <c:v>42.864728782500002</c:v>
                </c:pt>
                <c:pt idx="229">
                  <c:v>42.864728782500002</c:v>
                </c:pt>
                <c:pt idx="230">
                  <c:v>42.864728782500002</c:v>
                </c:pt>
                <c:pt idx="231">
                  <c:v>42.864728782500002</c:v>
                </c:pt>
                <c:pt idx="232">
                  <c:v>42.864728782500002</c:v>
                </c:pt>
                <c:pt idx="233">
                  <c:v>42.864728782500002</c:v>
                </c:pt>
                <c:pt idx="234">
                  <c:v>42.864728782500002</c:v>
                </c:pt>
                <c:pt idx="235">
                  <c:v>42.864728782500002</c:v>
                </c:pt>
                <c:pt idx="236">
                  <c:v>42.864728782500002</c:v>
                </c:pt>
                <c:pt idx="237">
                  <c:v>42.864728782500002</c:v>
                </c:pt>
                <c:pt idx="238">
                  <c:v>42.864728782500002</c:v>
                </c:pt>
                <c:pt idx="239">
                  <c:v>42.864728782500002</c:v>
                </c:pt>
                <c:pt idx="240">
                  <c:v>42.864728782500002</c:v>
                </c:pt>
                <c:pt idx="241">
                  <c:v>42.864728782500002</c:v>
                </c:pt>
                <c:pt idx="242">
                  <c:v>42.864728782500002</c:v>
                </c:pt>
                <c:pt idx="243">
                  <c:v>42.864728782500002</c:v>
                </c:pt>
                <c:pt idx="244">
                  <c:v>42.864728782500002</c:v>
                </c:pt>
                <c:pt idx="245">
                  <c:v>42.864728782500002</c:v>
                </c:pt>
                <c:pt idx="246">
                  <c:v>42.864728782500002</c:v>
                </c:pt>
                <c:pt idx="247">
                  <c:v>42.864728782500002</c:v>
                </c:pt>
                <c:pt idx="248">
                  <c:v>42.864728782500002</c:v>
                </c:pt>
                <c:pt idx="249">
                  <c:v>42.864728782500002</c:v>
                </c:pt>
                <c:pt idx="250">
                  <c:v>42.864728782500002</c:v>
                </c:pt>
                <c:pt idx="251">
                  <c:v>42.864728782500002</c:v>
                </c:pt>
                <c:pt idx="252">
                  <c:v>42.864728782500002</c:v>
                </c:pt>
                <c:pt idx="253">
                  <c:v>42.864728782500002</c:v>
                </c:pt>
                <c:pt idx="254">
                  <c:v>42.864728782500002</c:v>
                </c:pt>
                <c:pt idx="255">
                  <c:v>42.864728782500002</c:v>
                </c:pt>
                <c:pt idx="256">
                  <c:v>42.864728782500002</c:v>
                </c:pt>
                <c:pt idx="257">
                  <c:v>42.864728782500002</c:v>
                </c:pt>
                <c:pt idx="258">
                  <c:v>42.864728782500002</c:v>
                </c:pt>
                <c:pt idx="259">
                  <c:v>42.864728782500002</c:v>
                </c:pt>
                <c:pt idx="260">
                  <c:v>42.864728782500002</c:v>
                </c:pt>
                <c:pt idx="261">
                  <c:v>42.864728782500002</c:v>
                </c:pt>
                <c:pt idx="262">
                  <c:v>42.864728782500002</c:v>
                </c:pt>
                <c:pt idx="263">
                  <c:v>42.864728782500002</c:v>
                </c:pt>
                <c:pt idx="264">
                  <c:v>42.864728782500002</c:v>
                </c:pt>
                <c:pt idx="265">
                  <c:v>42.864728782500002</c:v>
                </c:pt>
                <c:pt idx="266">
                  <c:v>42.864728782500002</c:v>
                </c:pt>
                <c:pt idx="267">
                  <c:v>42.864728782500002</c:v>
                </c:pt>
                <c:pt idx="268">
                  <c:v>42.864728782500002</c:v>
                </c:pt>
                <c:pt idx="269">
                  <c:v>42.864728782500002</c:v>
                </c:pt>
                <c:pt idx="270">
                  <c:v>42.864728782500002</c:v>
                </c:pt>
                <c:pt idx="271">
                  <c:v>42.864728782500002</c:v>
                </c:pt>
                <c:pt idx="272">
                  <c:v>42.864728782500002</c:v>
                </c:pt>
                <c:pt idx="273">
                  <c:v>42.864728782500002</c:v>
                </c:pt>
                <c:pt idx="274">
                  <c:v>42.864728782500002</c:v>
                </c:pt>
                <c:pt idx="275">
                  <c:v>42.864728782500002</c:v>
                </c:pt>
                <c:pt idx="276">
                  <c:v>42.864728782500002</c:v>
                </c:pt>
                <c:pt idx="277">
                  <c:v>42.864728782500002</c:v>
                </c:pt>
                <c:pt idx="278">
                  <c:v>42.864728782500002</c:v>
                </c:pt>
                <c:pt idx="279">
                  <c:v>42.864728782500002</c:v>
                </c:pt>
                <c:pt idx="280">
                  <c:v>42.864728782500002</c:v>
                </c:pt>
                <c:pt idx="281">
                  <c:v>42.864728782500002</c:v>
                </c:pt>
                <c:pt idx="282">
                  <c:v>42.864728782500002</c:v>
                </c:pt>
                <c:pt idx="283">
                  <c:v>42.864728782500002</c:v>
                </c:pt>
                <c:pt idx="284">
                  <c:v>42.864728782500002</c:v>
                </c:pt>
                <c:pt idx="285">
                  <c:v>42.864728782500002</c:v>
                </c:pt>
                <c:pt idx="286">
                  <c:v>42.864728782500002</c:v>
                </c:pt>
                <c:pt idx="287">
                  <c:v>42.864728782500002</c:v>
                </c:pt>
                <c:pt idx="288">
                  <c:v>42.864728782500002</c:v>
                </c:pt>
                <c:pt idx="289">
                  <c:v>42.864728782500002</c:v>
                </c:pt>
                <c:pt idx="290">
                  <c:v>42.864728782500002</c:v>
                </c:pt>
                <c:pt idx="291">
                  <c:v>42.864728782500002</c:v>
                </c:pt>
                <c:pt idx="292">
                  <c:v>42.864728782500002</c:v>
                </c:pt>
                <c:pt idx="293">
                  <c:v>42.864728782500002</c:v>
                </c:pt>
                <c:pt idx="294">
                  <c:v>42.864728782500002</c:v>
                </c:pt>
                <c:pt idx="295">
                  <c:v>42.864728782500002</c:v>
                </c:pt>
                <c:pt idx="296">
                  <c:v>42.864728782500002</c:v>
                </c:pt>
                <c:pt idx="297">
                  <c:v>42.864728782500002</c:v>
                </c:pt>
                <c:pt idx="298">
                  <c:v>42.864728782500002</c:v>
                </c:pt>
                <c:pt idx="299">
                  <c:v>42.864728782500002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ED-4BF6-B88F-9B019CC08E94}"/>
            </c:ext>
          </c:extLst>
        </c:ser>
        <c:ser>
          <c:idx val="0"/>
          <c:order val="1"/>
          <c:tx>
            <c:v>Extensometer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Sheet1!$R$2:$R$301</c:f>
              <c:numCache>
                <c:formatCode>General</c:formatCode>
                <c:ptCount val="300"/>
                <c:pt idx="0">
                  <c:v>0</c:v>
                </c:pt>
                <c:pt idx="1">
                  <c:v>9.0999999999999998E-2</c:v>
                </c:pt>
                <c:pt idx="2">
                  <c:v>0.18099999999999999</c:v>
                </c:pt>
                <c:pt idx="3">
                  <c:v>0.27200000000000002</c:v>
                </c:pt>
                <c:pt idx="4">
                  <c:v>0.36299999999999999</c:v>
                </c:pt>
                <c:pt idx="5">
                  <c:v>0.45400000000000001</c:v>
                </c:pt>
                <c:pt idx="6">
                  <c:v>0.54500000000000004</c:v>
                </c:pt>
                <c:pt idx="7">
                  <c:v>0.63500000000000001</c:v>
                </c:pt>
                <c:pt idx="8">
                  <c:v>0.72599999999999998</c:v>
                </c:pt>
                <c:pt idx="9">
                  <c:v>0.81599999999999995</c:v>
                </c:pt>
                <c:pt idx="10">
                  <c:v>0.90700000000000003</c:v>
                </c:pt>
                <c:pt idx="11">
                  <c:v>0.998</c:v>
                </c:pt>
                <c:pt idx="12">
                  <c:v>1.089</c:v>
                </c:pt>
                <c:pt idx="13">
                  <c:v>1.18</c:v>
                </c:pt>
                <c:pt idx="14">
                  <c:v>1.27</c:v>
                </c:pt>
                <c:pt idx="15">
                  <c:v>1.361</c:v>
                </c:pt>
                <c:pt idx="16">
                  <c:v>1.452</c:v>
                </c:pt>
                <c:pt idx="17">
                  <c:v>1.542</c:v>
                </c:pt>
                <c:pt idx="18">
                  <c:v>1.633</c:v>
                </c:pt>
                <c:pt idx="19">
                  <c:v>1.7230000000000001</c:v>
                </c:pt>
                <c:pt idx="20">
                  <c:v>1.8149999999999999</c:v>
                </c:pt>
                <c:pt idx="21">
                  <c:v>1.9059999999999999</c:v>
                </c:pt>
                <c:pt idx="22">
                  <c:v>1.996</c:v>
                </c:pt>
                <c:pt idx="23">
                  <c:v>2.0870000000000002</c:v>
                </c:pt>
                <c:pt idx="24">
                  <c:v>2.177</c:v>
                </c:pt>
                <c:pt idx="25">
                  <c:v>2.2679999999999998</c:v>
                </c:pt>
                <c:pt idx="26">
                  <c:v>2.359</c:v>
                </c:pt>
                <c:pt idx="27">
                  <c:v>2.4489999999999998</c:v>
                </c:pt>
                <c:pt idx="28">
                  <c:v>2.5409999999999999</c:v>
                </c:pt>
                <c:pt idx="29">
                  <c:v>2.6309999999999998</c:v>
                </c:pt>
                <c:pt idx="30">
                  <c:v>2.722</c:v>
                </c:pt>
                <c:pt idx="31">
                  <c:v>2.8130000000000002</c:v>
                </c:pt>
                <c:pt idx="32">
                  <c:v>2.903</c:v>
                </c:pt>
                <c:pt idx="33">
                  <c:v>2.9940000000000002</c:v>
                </c:pt>
                <c:pt idx="34">
                  <c:v>3.0840000000000001</c:v>
                </c:pt>
                <c:pt idx="35">
                  <c:v>3.1749999999999998</c:v>
                </c:pt>
                <c:pt idx="36">
                  <c:v>3.2669999999999999</c:v>
                </c:pt>
                <c:pt idx="37">
                  <c:v>3.3570000000000002</c:v>
                </c:pt>
                <c:pt idx="38">
                  <c:v>3.448</c:v>
                </c:pt>
                <c:pt idx="39">
                  <c:v>3.5390000000000001</c:v>
                </c:pt>
                <c:pt idx="40">
                  <c:v>3.629</c:v>
                </c:pt>
                <c:pt idx="41">
                  <c:v>3.72</c:v>
                </c:pt>
                <c:pt idx="42">
                  <c:v>3.81</c:v>
                </c:pt>
                <c:pt idx="43">
                  <c:v>3.9009999999999998</c:v>
                </c:pt>
                <c:pt idx="44">
                  <c:v>3.9929999999999999</c:v>
                </c:pt>
                <c:pt idx="45">
                  <c:v>4.0830000000000002</c:v>
                </c:pt>
                <c:pt idx="46">
                  <c:v>4.1740000000000004</c:v>
                </c:pt>
                <c:pt idx="47">
                  <c:v>4.2640000000000002</c:v>
                </c:pt>
                <c:pt idx="48">
                  <c:v>4.3550000000000004</c:v>
                </c:pt>
                <c:pt idx="49">
                  <c:v>4.4459999999999997</c:v>
                </c:pt>
                <c:pt idx="50">
                  <c:v>4.5359999999999996</c:v>
                </c:pt>
                <c:pt idx="51">
                  <c:v>4.6269999999999998</c:v>
                </c:pt>
                <c:pt idx="52">
                  <c:v>4.718</c:v>
                </c:pt>
                <c:pt idx="53">
                  <c:v>4.8090000000000002</c:v>
                </c:pt>
                <c:pt idx="54">
                  <c:v>4.9000000000000004</c:v>
                </c:pt>
                <c:pt idx="55">
                  <c:v>4.99</c:v>
                </c:pt>
                <c:pt idx="56">
                  <c:v>5.0810000000000004</c:v>
                </c:pt>
                <c:pt idx="57">
                  <c:v>5.1710000000000003</c:v>
                </c:pt>
                <c:pt idx="58">
                  <c:v>5.2619999999999996</c:v>
                </c:pt>
                <c:pt idx="59">
                  <c:v>5.3529999999999998</c:v>
                </c:pt>
                <c:pt idx="60">
                  <c:v>5.444</c:v>
                </c:pt>
                <c:pt idx="61">
                  <c:v>5.5350000000000001</c:v>
                </c:pt>
                <c:pt idx="62">
                  <c:v>5.625</c:v>
                </c:pt>
                <c:pt idx="63">
                  <c:v>5.7160000000000002</c:v>
                </c:pt>
                <c:pt idx="64">
                  <c:v>5.8070000000000004</c:v>
                </c:pt>
                <c:pt idx="65">
                  <c:v>5.8970000000000002</c:v>
                </c:pt>
                <c:pt idx="66">
                  <c:v>5.9880000000000004</c:v>
                </c:pt>
                <c:pt idx="67">
                  <c:v>6.0780000000000003</c:v>
                </c:pt>
                <c:pt idx="68">
                  <c:v>6.17</c:v>
                </c:pt>
                <c:pt idx="69">
                  <c:v>6.2610000000000001</c:v>
                </c:pt>
                <c:pt idx="70">
                  <c:v>6.351</c:v>
                </c:pt>
                <c:pt idx="71">
                  <c:v>6.4420000000000002</c:v>
                </c:pt>
                <c:pt idx="72">
                  <c:v>6.532</c:v>
                </c:pt>
                <c:pt idx="73">
                  <c:v>6.6230000000000002</c:v>
                </c:pt>
                <c:pt idx="74">
                  <c:v>6.7140000000000004</c:v>
                </c:pt>
                <c:pt idx="75">
                  <c:v>6.8049999999999997</c:v>
                </c:pt>
                <c:pt idx="76">
                  <c:v>6.8959999999999999</c:v>
                </c:pt>
                <c:pt idx="77">
                  <c:v>6.9859999999999998</c:v>
                </c:pt>
                <c:pt idx="78">
                  <c:v>7.077</c:v>
                </c:pt>
                <c:pt idx="79">
                  <c:v>7.1680000000000001</c:v>
                </c:pt>
                <c:pt idx="80">
                  <c:v>7.258</c:v>
                </c:pt>
                <c:pt idx="81">
                  <c:v>7.3490000000000002</c:v>
                </c:pt>
                <c:pt idx="82">
                  <c:v>7.4390000000000001</c:v>
                </c:pt>
                <c:pt idx="83">
                  <c:v>7.5309999999999997</c:v>
                </c:pt>
                <c:pt idx="84">
                  <c:v>7.6219999999999999</c:v>
                </c:pt>
                <c:pt idx="85">
                  <c:v>7.7119999999999997</c:v>
                </c:pt>
                <c:pt idx="86">
                  <c:v>7.8029999999999999</c:v>
                </c:pt>
                <c:pt idx="87">
                  <c:v>7.8929999999999998</c:v>
                </c:pt>
                <c:pt idx="88">
                  <c:v>7.984</c:v>
                </c:pt>
                <c:pt idx="89">
                  <c:v>8.0749999999999993</c:v>
                </c:pt>
                <c:pt idx="90">
                  <c:v>8.1649999999999991</c:v>
                </c:pt>
                <c:pt idx="91">
                  <c:v>8.2569999999999997</c:v>
                </c:pt>
                <c:pt idx="92">
                  <c:v>8.3469999999999995</c:v>
                </c:pt>
                <c:pt idx="93">
                  <c:v>8.4380000000000006</c:v>
                </c:pt>
                <c:pt idx="94">
                  <c:v>8.5289999999999999</c:v>
                </c:pt>
                <c:pt idx="95">
                  <c:v>8.6189999999999998</c:v>
                </c:pt>
                <c:pt idx="96">
                  <c:v>8.7100000000000009</c:v>
                </c:pt>
                <c:pt idx="97">
                  <c:v>8.8000000000000007</c:v>
                </c:pt>
                <c:pt idx="98">
                  <c:v>8.891</c:v>
                </c:pt>
                <c:pt idx="99">
                  <c:v>8.9830000000000005</c:v>
                </c:pt>
                <c:pt idx="100">
                  <c:v>9.0730000000000004</c:v>
                </c:pt>
                <c:pt idx="101">
                  <c:v>9.1639999999999997</c:v>
                </c:pt>
                <c:pt idx="102">
                  <c:v>9.2539999999999996</c:v>
                </c:pt>
                <c:pt idx="103">
                  <c:v>9.3450000000000006</c:v>
                </c:pt>
                <c:pt idx="104">
                  <c:v>9.4359999999999999</c:v>
                </c:pt>
                <c:pt idx="105">
                  <c:v>9.5259999999999998</c:v>
                </c:pt>
                <c:pt idx="106">
                  <c:v>9.6170000000000009</c:v>
                </c:pt>
                <c:pt idx="107">
                  <c:v>9.7080000000000002</c:v>
                </c:pt>
                <c:pt idx="108">
                  <c:v>9.7989999999999995</c:v>
                </c:pt>
                <c:pt idx="109">
                  <c:v>9.89</c:v>
                </c:pt>
                <c:pt idx="110">
                  <c:v>9.98</c:v>
                </c:pt>
                <c:pt idx="111">
                  <c:v>10.071</c:v>
                </c:pt>
                <c:pt idx="112">
                  <c:v>10.162000000000001</c:v>
                </c:pt>
                <c:pt idx="113">
                  <c:v>10.252000000000001</c:v>
                </c:pt>
                <c:pt idx="114">
                  <c:v>10.343</c:v>
                </c:pt>
                <c:pt idx="115">
                  <c:v>10.433999999999999</c:v>
                </c:pt>
                <c:pt idx="116">
                  <c:v>10.525</c:v>
                </c:pt>
                <c:pt idx="117">
                  <c:v>10.616</c:v>
                </c:pt>
                <c:pt idx="118">
                  <c:v>10.706</c:v>
                </c:pt>
                <c:pt idx="119">
                  <c:v>10.797000000000001</c:v>
                </c:pt>
                <c:pt idx="120">
                  <c:v>10.887</c:v>
                </c:pt>
                <c:pt idx="121">
                  <c:v>10.978</c:v>
                </c:pt>
                <c:pt idx="122">
                  <c:v>11.069000000000001</c:v>
                </c:pt>
                <c:pt idx="123">
                  <c:v>11.16</c:v>
                </c:pt>
                <c:pt idx="124">
                  <c:v>11.250999999999999</c:v>
                </c:pt>
                <c:pt idx="125">
                  <c:v>11.340999999999999</c:v>
                </c:pt>
                <c:pt idx="126">
                  <c:v>11.432</c:v>
                </c:pt>
                <c:pt idx="127">
                  <c:v>11.523</c:v>
                </c:pt>
                <c:pt idx="128">
                  <c:v>11.613</c:v>
                </c:pt>
                <c:pt idx="129">
                  <c:v>11.704000000000001</c:v>
                </c:pt>
                <c:pt idx="130">
                  <c:v>11.794</c:v>
                </c:pt>
                <c:pt idx="131">
                  <c:v>11.885999999999999</c:v>
                </c:pt>
                <c:pt idx="132">
                  <c:v>11.977</c:v>
                </c:pt>
                <c:pt idx="133">
                  <c:v>12.067</c:v>
                </c:pt>
                <c:pt idx="134">
                  <c:v>12.157999999999999</c:v>
                </c:pt>
                <c:pt idx="135">
                  <c:v>12.247999999999999</c:v>
                </c:pt>
                <c:pt idx="136">
                  <c:v>12.339</c:v>
                </c:pt>
                <c:pt idx="137">
                  <c:v>12.43</c:v>
                </c:pt>
                <c:pt idx="138">
                  <c:v>12.52</c:v>
                </c:pt>
                <c:pt idx="139">
                  <c:v>12.612</c:v>
                </c:pt>
                <c:pt idx="140">
                  <c:v>12.702999999999999</c:v>
                </c:pt>
                <c:pt idx="141">
                  <c:v>12.792999999999999</c:v>
                </c:pt>
                <c:pt idx="142">
                  <c:v>12.884</c:v>
                </c:pt>
                <c:pt idx="143">
                  <c:v>12.974</c:v>
                </c:pt>
                <c:pt idx="144">
                  <c:v>13.065</c:v>
                </c:pt>
                <c:pt idx="145">
                  <c:v>13.156000000000001</c:v>
                </c:pt>
                <c:pt idx="146">
                  <c:v>13.246</c:v>
                </c:pt>
                <c:pt idx="147">
                  <c:v>13.337999999999999</c:v>
                </c:pt>
                <c:pt idx="148">
                  <c:v>13.428000000000001</c:v>
                </c:pt>
                <c:pt idx="149">
                  <c:v>13.519</c:v>
                </c:pt>
                <c:pt idx="150">
                  <c:v>13.61</c:v>
                </c:pt>
                <c:pt idx="151">
                  <c:v>13.7</c:v>
                </c:pt>
                <c:pt idx="152">
                  <c:v>13.791</c:v>
                </c:pt>
                <c:pt idx="153">
                  <c:v>13.882</c:v>
                </c:pt>
                <c:pt idx="154">
                  <c:v>13.973000000000001</c:v>
                </c:pt>
                <c:pt idx="155">
                  <c:v>14.064</c:v>
                </c:pt>
                <c:pt idx="156">
                  <c:v>14.154</c:v>
                </c:pt>
                <c:pt idx="157">
                  <c:v>14.244999999999999</c:v>
                </c:pt>
                <c:pt idx="158">
                  <c:v>14.336</c:v>
                </c:pt>
                <c:pt idx="159">
                  <c:v>14.426</c:v>
                </c:pt>
                <c:pt idx="160">
                  <c:v>14.516999999999999</c:v>
                </c:pt>
                <c:pt idx="161">
                  <c:v>14.606999999999999</c:v>
                </c:pt>
                <c:pt idx="162">
                  <c:v>14.699</c:v>
                </c:pt>
                <c:pt idx="163">
                  <c:v>14.79</c:v>
                </c:pt>
                <c:pt idx="164">
                  <c:v>14.88</c:v>
                </c:pt>
                <c:pt idx="165">
                  <c:v>14.971</c:v>
                </c:pt>
                <c:pt idx="166">
                  <c:v>15.061999999999999</c:v>
                </c:pt>
                <c:pt idx="167">
                  <c:v>15.151999999999999</c:v>
                </c:pt>
                <c:pt idx="168">
                  <c:v>15.243</c:v>
                </c:pt>
                <c:pt idx="169">
                  <c:v>15.333</c:v>
                </c:pt>
                <c:pt idx="170">
                  <c:v>15.425000000000001</c:v>
                </c:pt>
                <c:pt idx="171">
                  <c:v>15.516</c:v>
                </c:pt>
                <c:pt idx="172">
                  <c:v>15.606</c:v>
                </c:pt>
                <c:pt idx="173">
                  <c:v>15.696999999999999</c:v>
                </c:pt>
                <c:pt idx="174">
                  <c:v>15.787000000000001</c:v>
                </c:pt>
                <c:pt idx="175">
                  <c:v>15.878</c:v>
                </c:pt>
                <c:pt idx="176">
                  <c:v>15.968999999999999</c:v>
                </c:pt>
                <c:pt idx="177">
                  <c:v>16.059000000000001</c:v>
                </c:pt>
                <c:pt idx="178">
                  <c:v>16.151</c:v>
                </c:pt>
                <c:pt idx="179">
                  <c:v>16.242000000000001</c:v>
                </c:pt>
                <c:pt idx="180">
                  <c:v>16.332000000000001</c:v>
                </c:pt>
                <c:pt idx="181">
                  <c:v>16.422999999999998</c:v>
                </c:pt>
                <c:pt idx="182">
                  <c:v>16.513000000000002</c:v>
                </c:pt>
                <c:pt idx="183">
                  <c:v>16.603999999999999</c:v>
                </c:pt>
                <c:pt idx="184">
                  <c:v>16.695</c:v>
                </c:pt>
                <c:pt idx="185">
                  <c:v>16.785</c:v>
                </c:pt>
                <c:pt idx="186">
                  <c:v>16.876999999999999</c:v>
                </c:pt>
                <c:pt idx="187">
                  <c:v>16.966999999999999</c:v>
                </c:pt>
                <c:pt idx="188">
                  <c:v>17.058</c:v>
                </c:pt>
                <c:pt idx="189">
                  <c:v>17.149000000000001</c:v>
                </c:pt>
                <c:pt idx="190">
                  <c:v>17.239000000000001</c:v>
                </c:pt>
                <c:pt idx="191">
                  <c:v>17.329999999999998</c:v>
                </c:pt>
                <c:pt idx="192">
                  <c:v>17.420999999999999</c:v>
                </c:pt>
                <c:pt idx="193">
                  <c:v>17.510999999999999</c:v>
                </c:pt>
                <c:pt idx="194">
                  <c:v>17.603000000000002</c:v>
                </c:pt>
                <c:pt idx="195">
                  <c:v>17.693000000000001</c:v>
                </c:pt>
                <c:pt idx="196">
                  <c:v>17.783999999999999</c:v>
                </c:pt>
                <c:pt idx="197">
                  <c:v>17.875</c:v>
                </c:pt>
                <c:pt idx="198">
                  <c:v>17.965</c:v>
                </c:pt>
                <c:pt idx="199">
                  <c:v>18.056000000000001</c:v>
                </c:pt>
                <c:pt idx="200">
                  <c:v>18.146000000000001</c:v>
                </c:pt>
                <c:pt idx="201">
                  <c:v>18.236999999999998</c:v>
                </c:pt>
                <c:pt idx="202">
                  <c:v>18.329000000000001</c:v>
                </c:pt>
                <c:pt idx="203">
                  <c:v>18.419</c:v>
                </c:pt>
                <c:pt idx="204">
                  <c:v>18.510000000000002</c:v>
                </c:pt>
                <c:pt idx="205">
                  <c:v>18.600000000000001</c:v>
                </c:pt>
                <c:pt idx="206">
                  <c:v>18.690999999999999</c:v>
                </c:pt>
                <c:pt idx="207">
                  <c:v>18.782</c:v>
                </c:pt>
                <c:pt idx="208">
                  <c:v>18.872</c:v>
                </c:pt>
                <c:pt idx="209">
                  <c:v>18.963000000000001</c:v>
                </c:pt>
                <c:pt idx="210">
                  <c:v>19.053999999999998</c:v>
                </c:pt>
                <c:pt idx="211">
                  <c:v>19.145</c:v>
                </c:pt>
                <c:pt idx="212">
                  <c:v>19.236000000000001</c:v>
                </c:pt>
                <c:pt idx="213">
                  <c:v>19.326000000000001</c:v>
                </c:pt>
                <c:pt idx="214">
                  <c:v>19.417000000000002</c:v>
                </c:pt>
                <c:pt idx="215">
                  <c:v>19.507000000000001</c:v>
                </c:pt>
                <c:pt idx="216">
                  <c:v>19.597999999999999</c:v>
                </c:pt>
                <c:pt idx="217">
                  <c:v>19.689</c:v>
                </c:pt>
                <c:pt idx="218">
                  <c:v>19.78</c:v>
                </c:pt>
                <c:pt idx="219">
                  <c:v>19.870999999999999</c:v>
                </c:pt>
                <c:pt idx="220">
                  <c:v>19.960999999999999</c:v>
                </c:pt>
                <c:pt idx="221">
                  <c:v>20.052</c:v>
                </c:pt>
                <c:pt idx="222">
                  <c:v>20.143000000000001</c:v>
                </c:pt>
                <c:pt idx="223">
                  <c:v>20.233000000000001</c:v>
                </c:pt>
                <c:pt idx="224">
                  <c:v>20.324000000000002</c:v>
                </c:pt>
                <c:pt idx="225">
                  <c:v>20.416</c:v>
                </c:pt>
                <c:pt idx="226">
                  <c:v>20.506</c:v>
                </c:pt>
                <c:pt idx="227">
                  <c:v>20.597000000000001</c:v>
                </c:pt>
                <c:pt idx="228">
                  <c:v>20.687000000000001</c:v>
                </c:pt>
                <c:pt idx="229">
                  <c:v>20.777999999999999</c:v>
                </c:pt>
                <c:pt idx="230">
                  <c:v>20.869</c:v>
                </c:pt>
                <c:pt idx="231">
                  <c:v>20.959</c:v>
                </c:pt>
                <c:pt idx="232">
                  <c:v>21.05</c:v>
                </c:pt>
                <c:pt idx="233">
                  <c:v>21.140999999999998</c:v>
                </c:pt>
                <c:pt idx="234">
                  <c:v>21.231999999999999</c:v>
                </c:pt>
                <c:pt idx="235">
                  <c:v>21.323</c:v>
                </c:pt>
                <c:pt idx="236">
                  <c:v>21.413</c:v>
                </c:pt>
                <c:pt idx="237">
                  <c:v>21.504000000000001</c:v>
                </c:pt>
                <c:pt idx="238">
                  <c:v>21.594999999999999</c:v>
                </c:pt>
                <c:pt idx="239">
                  <c:v>21.684999999999999</c:v>
                </c:pt>
                <c:pt idx="240">
                  <c:v>21.776</c:v>
                </c:pt>
                <c:pt idx="241">
                  <c:v>21.867000000000001</c:v>
                </c:pt>
                <c:pt idx="242">
                  <c:v>21.957999999999998</c:v>
                </c:pt>
                <c:pt idx="243">
                  <c:v>22.048999999999999</c:v>
                </c:pt>
                <c:pt idx="244">
                  <c:v>22.138999999999999</c:v>
                </c:pt>
                <c:pt idx="245">
                  <c:v>22.23</c:v>
                </c:pt>
                <c:pt idx="246">
                  <c:v>22.32</c:v>
                </c:pt>
                <c:pt idx="247">
                  <c:v>22.411000000000001</c:v>
                </c:pt>
                <c:pt idx="248">
                  <c:v>22.501999999999999</c:v>
                </c:pt>
                <c:pt idx="249">
                  <c:v>22.593</c:v>
                </c:pt>
                <c:pt idx="250">
                  <c:v>22.684000000000001</c:v>
                </c:pt>
                <c:pt idx="251">
                  <c:v>22.774000000000001</c:v>
                </c:pt>
                <c:pt idx="252">
                  <c:v>22.864999999999998</c:v>
                </c:pt>
                <c:pt idx="253">
                  <c:v>22.956</c:v>
                </c:pt>
                <c:pt idx="254">
                  <c:v>23.045999999999999</c:v>
                </c:pt>
                <c:pt idx="255">
                  <c:v>23.137</c:v>
                </c:pt>
                <c:pt idx="256">
                  <c:v>23.227</c:v>
                </c:pt>
                <c:pt idx="257">
                  <c:v>23.318999999999999</c:v>
                </c:pt>
                <c:pt idx="258">
                  <c:v>23.41</c:v>
                </c:pt>
                <c:pt idx="259">
                  <c:v>23.5</c:v>
                </c:pt>
                <c:pt idx="260">
                  <c:v>23.591000000000001</c:v>
                </c:pt>
                <c:pt idx="261">
                  <c:v>23.681000000000001</c:v>
                </c:pt>
                <c:pt idx="262">
                  <c:v>23.771999999999998</c:v>
                </c:pt>
                <c:pt idx="263">
                  <c:v>23.863</c:v>
                </c:pt>
                <c:pt idx="264">
                  <c:v>23.952999999999999</c:v>
                </c:pt>
                <c:pt idx="265">
                  <c:v>24.045000000000002</c:v>
                </c:pt>
                <c:pt idx="266">
                  <c:v>24.135999999999999</c:v>
                </c:pt>
                <c:pt idx="267">
                  <c:v>24.225999999999999</c:v>
                </c:pt>
                <c:pt idx="268">
                  <c:v>24.317</c:v>
                </c:pt>
                <c:pt idx="269">
                  <c:v>24.407</c:v>
                </c:pt>
                <c:pt idx="270">
                  <c:v>24.498000000000001</c:v>
                </c:pt>
                <c:pt idx="271">
                  <c:v>24.588999999999999</c:v>
                </c:pt>
                <c:pt idx="272">
                  <c:v>24.678999999999998</c:v>
                </c:pt>
                <c:pt idx="273">
                  <c:v>24.771000000000001</c:v>
                </c:pt>
                <c:pt idx="274">
                  <c:v>24.861000000000001</c:v>
                </c:pt>
                <c:pt idx="275">
                  <c:v>24.952000000000002</c:v>
                </c:pt>
                <c:pt idx="276">
                  <c:v>25.042999999999999</c:v>
                </c:pt>
                <c:pt idx="277">
                  <c:v>25.132999999999999</c:v>
                </c:pt>
                <c:pt idx="278">
                  <c:v>25.224</c:v>
                </c:pt>
                <c:pt idx="279">
                  <c:v>25.314</c:v>
                </c:pt>
                <c:pt idx="280">
                  <c:v>25.405000000000001</c:v>
                </c:pt>
                <c:pt idx="281">
                  <c:v>25.497</c:v>
                </c:pt>
                <c:pt idx="282">
                  <c:v>25.587</c:v>
                </c:pt>
                <c:pt idx="283">
                  <c:v>25.678000000000001</c:v>
                </c:pt>
                <c:pt idx="284">
                  <c:v>25.768000000000001</c:v>
                </c:pt>
                <c:pt idx="285">
                  <c:v>25.859000000000002</c:v>
                </c:pt>
                <c:pt idx="286">
                  <c:v>25.95</c:v>
                </c:pt>
                <c:pt idx="287">
                  <c:v>26.04</c:v>
                </c:pt>
                <c:pt idx="288">
                  <c:v>26.131</c:v>
                </c:pt>
                <c:pt idx="289">
                  <c:v>26.222000000000001</c:v>
                </c:pt>
                <c:pt idx="290">
                  <c:v>26.312999999999999</c:v>
                </c:pt>
                <c:pt idx="291">
                  <c:v>26.404</c:v>
                </c:pt>
                <c:pt idx="292">
                  <c:v>26.494</c:v>
                </c:pt>
                <c:pt idx="293">
                  <c:v>26.585000000000001</c:v>
                </c:pt>
                <c:pt idx="294">
                  <c:v>26.675000000000001</c:v>
                </c:pt>
                <c:pt idx="295">
                  <c:v>26.765999999999998</c:v>
                </c:pt>
                <c:pt idx="296">
                  <c:v>26.856999999999999</c:v>
                </c:pt>
                <c:pt idx="297">
                  <c:v>26.948</c:v>
                </c:pt>
                <c:pt idx="298">
                  <c:v>27.039000000000001</c:v>
                </c:pt>
                <c:pt idx="299">
                  <c:v>27.129000000000001</c:v>
                </c:pt>
              </c:numCache>
            </c:numRef>
          </c:xVal>
          <c:yVal>
            <c:numRef>
              <c:f>Sheet1!$S$2:$S$301</c:f>
              <c:numCache>
                <c:formatCode>General</c:formatCode>
                <c:ptCount val="300"/>
                <c:pt idx="0">
                  <c:v>0</c:v>
                </c:pt>
                <c:pt idx="1">
                  <c:v>-0.42000000000000171</c:v>
                </c:pt>
                <c:pt idx="2">
                  <c:v>-0.42000000000000171</c:v>
                </c:pt>
                <c:pt idx="3">
                  <c:v>-0.42000000000000171</c:v>
                </c:pt>
                <c:pt idx="4">
                  <c:v>-0.42000000000000171</c:v>
                </c:pt>
                <c:pt idx="5">
                  <c:v>0</c:v>
                </c:pt>
                <c:pt idx="6">
                  <c:v>-0.42000000000000171</c:v>
                </c:pt>
                <c:pt idx="7">
                  <c:v>-0.42000000000000171</c:v>
                </c:pt>
                <c:pt idx="8">
                  <c:v>0</c:v>
                </c:pt>
                <c:pt idx="9">
                  <c:v>0.20999999999999375</c:v>
                </c:pt>
                <c:pt idx="10">
                  <c:v>0</c:v>
                </c:pt>
                <c:pt idx="11">
                  <c:v>0.20999999999999375</c:v>
                </c:pt>
                <c:pt idx="12">
                  <c:v>-0.42000000000000171</c:v>
                </c:pt>
                <c:pt idx="13">
                  <c:v>0</c:v>
                </c:pt>
                <c:pt idx="14">
                  <c:v>0</c:v>
                </c:pt>
                <c:pt idx="15">
                  <c:v>-0.42000000000000171</c:v>
                </c:pt>
                <c:pt idx="16">
                  <c:v>-0.42000000000000171</c:v>
                </c:pt>
                <c:pt idx="17">
                  <c:v>-0.42000000000000171</c:v>
                </c:pt>
                <c:pt idx="18">
                  <c:v>-0.42000000000000171</c:v>
                </c:pt>
                <c:pt idx="19">
                  <c:v>0</c:v>
                </c:pt>
                <c:pt idx="20">
                  <c:v>-0.42000000000000171</c:v>
                </c:pt>
                <c:pt idx="21">
                  <c:v>-0.42000000000000171</c:v>
                </c:pt>
                <c:pt idx="22">
                  <c:v>-0.21000000000000441</c:v>
                </c:pt>
                <c:pt idx="23">
                  <c:v>0.20999999999999375</c:v>
                </c:pt>
                <c:pt idx="24">
                  <c:v>0</c:v>
                </c:pt>
                <c:pt idx="25">
                  <c:v>0.20999999999999375</c:v>
                </c:pt>
                <c:pt idx="26">
                  <c:v>-0.42000000000000171</c:v>
                </c:pt>
                <c:pt idx="27">
                  <c:v>0</c:v>
                </c:pt>
                <c:pt idx="28">
                  <c:v>-0.21000000000000441</c:v>
                </c:pt>
                <c:pt idx="29">
                  <c:v>0</c:v>
                </c:pt>
                <c:pt idx="30">
                  <c:v>-0.42000000000000171</c:v>
                </c:pt>
                <c:pt idx="31">
                  <c:v>0</c:v>
                </c:pt>
                <c:pt idx="32">
                  <c:v>-0.42000000000000171</c:v>
                </c:pt>
                <c:pt idx="33">
                  <c:v>-0.42000000000000171</c:v>
                </c:pt>
                <c:pt idx="34">
                  <c:v>-0.21000000000000441</c:v>
                </c:pt>
                <c:pt idx="35">
                  <c:v>0.20999999999999375</c:v>
                </c:pt>
                <c:pt idx="36">
                  <c:v>0</c:v>
                </c:pt>
                <c:pt idx="37">
                  <c:v>-0.42000000000000171</c:v>
                </c:pt>
                <c:pt idx="38">
                  <c:v>-0.42000000000000171</c:v>
                </c:pt>
                <c:pt idx="39">
                  <c:v>-0.42000000000000171</c:v>
                </c:pt>
                <c:pt idx="40">
                  <c:v>0.20999999999999375</c:v>
                </c:pt>
                <c:pt idx="41">
                  <c:v>0</c:v>
                </c:pt>
                <c:pt idx="42">
                  <c:v>0</c:v>
                </c:pt>
                <c:pt idx="43">
                  <c:v>0.20999999999999375</c:v>
                </c:pt>
                <c:pt idx="44">
                  <c:v>0.20999999999999375</c:v>
                </c:pt>
                <c:pt idx="45">
                  <c:v>0</c:v>
                </c:pt>
                <c:pt idx="46">
                  <c:v>-0.21000000000000441</c:v>
                </c:pt>
                <c:pt idx="47">
                  <c:v>0</c:v>
                </c:pt>
                <c:pt idx="48">
                  <c:v>-0.84000000000000341</c:v>
                </c:pt>
                <c:pt idx="49">
                  <c:v>-0.21000000000000441</c:v>
                </c:pt>
                <c:pt idx="50">
                  <c:v>0</c:v>
                </c:pt>
                <c:pt idx="51">
                  <c:v>0.20999999999999375</c:v>
                </c:pt>
                <c:pt idx="52">
                  <c:v>-0.21000000000000441</c:v>
                </c:pt>
                <c:pt idx="53">
                  <c:v>-0.42000000000000171</c:v>
                </c:pt>
                <c:pt idx="54">
                  <c:v>-0.42000000000000171</c:v>
                </c:pt>
                <c:pt idx="55">
                  <c:v>-0.21000000000000441</c:v>
                </c:pt>
                <c:pt idx="56">
                  <c:v>0.20999999999999375</c:v>
                </c:pt>
                <c:pt idx="57">
                  <c:v>-0.21000000000000441</c:v>
                </c:pt>
                <c:pt idx="58">
                  <c:v>-0.21000000000000441</c:v>
                </c:pt>
                <c:pt idx="59">
                  <c:v>-0.42000000000000171</c:v>
                </c:pt>
                <c:pt idx="60">
                  <c:v>0.40999999999999659</c:v>
                </c:pt>
                <c:pt idx="61">
                  <c:v>-0.42000000000000171</c:v>
                </c:pt>
                <c:pt idx="62">
                  <c:v>-0.21000000000000441</c:v>
                </c:pt>
                <c:pt idx="63">
                  <c:v>-0.21000000000000441</c:v>
                </c:pt>
                <c:pt idx="64">
                  <c:v>0.20999999999999375</c:v>
                </c:pt>
                <c:pt idx="65">
                  <c:v>0</c:v>
                </c:pt>
                <c:pt idx="66">
                  <c:v>0.40999999999999659</c:v>
                </c:pt>
                <c:pt idx="67">
                  <c:v>0.20999999999999375</c:v>
                </c:pt>
                <c:pt idx="68">
                  <c:v>-0.21000000000000441</c:v>
                </c:pt>
                <c:pt idx="69">
                  <c:v>0.20999999999999375</c:v>
                </c:pt>
                <c:pt idx="70">
                  <c:v>0.20999999999999375</c:v>
                </c:pt>
                <c:pt idx="71">
                  <c:v>-0.21000000000000441</c:v>
                </c:pt>
                <c:pt idx="72">
                  <c:v>0.20999999999999375</c:v>
                </c:pt>
                <c:pt idx="73">
                  <c:v>1.0399999999999991</c:v>
                </c:pt>
                <c:pt idx="74">
                  <c:v>-0.21000000000000441</c:v>
                </c:pt>
                <c:pt idx="75">
                  <c:v>0.20999999999999375</c:v>
                </c:pt>
                <c:pt idx="76">
                  <c:v>0.20999999999999375</c:v>
                </c:pt>
                <c:pt idx="77">
                  <c:v>0</c:v>
                </c:pt>
                <c:pt idx="78">
                  <c:v>-0.21000000000000441</c:v>
                </c:pt>
                <c:pt idx="79">
                  <c:v>0.20999999999999375</c:v>
                </c:pt>
                <c:pt idx="80">
                  <c:v>-0.21000000000000441</c:v>
                </c:pt>
                <c:pt idx="81">
                  <c:v>-0.21000000000000441</c:v>
                </c:pt>
                <c:pt idx="82">
                  <c:v>0.40999999999999659</c:v>
                </c:pt>
                <c:pt idx="83">
                  <c:v>-0.21000000000000441</c:v>
                </c:pt>
                <c:pt idx="84">
                  <c:v>0</c:v>
                </c:pt>
                <c:pt idx="85">
                  <c:v>0.20999999999999375</c:v>
                </c:pt>
                <c:pt idx="86">
                  <c:v>0.20999999999999375</c:v>
                </c:pt>
                <c:pt idx="87">
                  <c:v>0.20999999999999375</c:v>
                </c:pt>
                <c:pt idx="88">
                  <c:v>0</c:v>
                </c:pt>
                <c:pt idx="89">
                  <c:v>0</c:v>
                </c:pt>
                <c:pt idx="90">
                  <c:v>0.40999999999999659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0.20999999999999375</c:v>
                </c:pt>
                <c:pt idx="95">
                  <c:v>0.20999999999999375</c:v>
                </c:pt>
                <c:pt idx="96">
                  <c:v>0.40999999999999659</c:v>
                </c:pt>
                <c:pt idx="97">
                  <c:v>0.40999999999999659</c:v>
                </c:pt>
                <c:pt idx="98">
                  <c:v>0.20999999999999375</c:v>
                </c:pt>
                <c:pt idx="99">
                  <c:v>0</c:v>
                </c:pt>
                <c:pt idx="100">
                  <c:v>0.40999999999999659</c:v>
                </c:pt>
                <c:pt idx="101">
                  <c:v>0.20999999999999375</c:v>
                </c:pt>
                <c:pt idx="102">
                  <c:v>0</c:v>
                </c:pt>
                <c:pt idx="103">
                  <c:v>0.20999999999999375</c:v>
                </c:pt>
                <c:pt idx="104">
                  <c:v>0.40999999999999659</c:v>
                </c:pt>
                <c:pt idx="105">
                  <c:v>0.61999999999999744</c:v>
                </c:pt>
                <c:pt idx="106">
                  <c:v>0.82999999999999829</c:v>
                </c:pt>
                <c:pt idx="107">
                  <c:v>0</c:v>
                </c:pt>
                <c:pt idx="108">
                  <c:v>0.82999999999999829</c:v>
                </c:pt>
                <c:pt idx="109">
                  <c:v>0.61999999999999744</c:v>
                </c:pt>
                <c:pt idx="110">
                  <c:v>0.82999999999999829</c:v>
                </c:pt>
                <c:pt idx="111">
                  <c:v>0.61999999999999744</c:v>
                </c:pt>
                <c:pt idx="112">
                  <c:v>0.82999999999999829</c:v>
                </c:pt>
                <c:pt idx="113">
                  <c:v>0.82999999999999829</c:v>
                </c:pt>
                <c:pt idx="114">
                  <c:v>1.0399999999999991</c:v>
                </c:pt>
                <c:pt idx="115">
                  <c:v>1.0399999999999991</c:v>
                </c:pt>
                <c:pt idx="116">
                  <c:v>1.0399999999999991</c:v>
                </c:pt>
                <c:pt idx="117">
                  <c:v>0.61999999999999744</c:v>
                </c:pt>
                <c:pt idx="118">
                  <c:v>1.25</c:v>
                </c:pt>
                <c:pt idx="119">
                  <c:v>1.0399999999999991</c:v>
                </c:pt>
                <c:pt idx="120">
                  <c:v>1.4599999999999937</c:v>
                </c:pt>
                <c:pt idx="121">
                  <c:v>1.6599999999999966</c:v>
                </c:pt>
                <c:pt idx="122">
                  <c:v>1.6599999999999966</c:v>
                </c:pt>
                <c:pt idx="123">
                  <c:v>1.8699999999999974</c:v>
                </c:pt>
                <c:pt idx="124">
                  <c:v>2.5</c:v>
                </c:pt>
                <c:pt idx="125">
                  <c:v>2.7099999999999937</c:v>
                </c:pt>
                <c:pt idx="126">
                  <c:v>2.9099999999999966</c:v>
                </c:pt>
                <c:pt idx="127">
                  <c:v>4.1599999999999966</c:v>
                </c:pt>
                <c:pt idx="128">
                  <c:v>4.1599999999999966</c:v>
                </c:pt>
                <c:pt idx="129">
                  <c:v>5</c:v>
                </c:pt>
                <c:pt idx="130">
                  <c:v>5.8299999999999983</c:v>
                </c:pt>
                <c:pt idx="131">
                  <c:v>7.5</c:v>
                </c:pt>
                <c:pt idx="132">
                  <c:v>8.75</c:v>
                </c:pt>
                <c:pt idx="133">
                  <c:v>9.1599999999999966</c:v>
                </c:pt>
                <c:pt idx="134">
                  <c:v>10.829999999999998</c:v>
                </c:pt>
                <c:pt idx="135">
                  <c:v>11.869999999999997</c:v>
                </c:pt>
                <c:pt idx="136">
                  <c:v>13.54</c:v>
                </c:pt>
                <c:pt idx="137">
                  <c:v>14.79</c:v>
                </c:pt>
                <c:pt idx="138">
                  <c:v>15.829999999999998</c:v>
                </c:pt>
                <c:pt idx="139">
                  <c:v>17.29</c:v>
                </c:pt>
                <c:pt idx="140">
                  <c:v>18.959999999999994</c:v>
                </c:pt>
                <c:pt idx="141">
                  <c:v>20.209999999999994</c:v>
                </c:pt>
                <c:pt idx="142">
                  <c:v>21.459999999999994</c:v>
                </c:pt>
                <c:pt idx="143">
                  <c:v>22.5</c:v>
                </c:pt>
                <c:pt idx="144">
                  <c:v>24.159999999999997</c:v>
                </c:pt>
                <c:pt idx="145">
                  <c:v>25.619999999999997</c:v>
                </c:pt>
                <c:pt idx="146">
                  <c:v>27.08</c:v>
                </c:pt>
                <c:pt idx="147">
                  <c:v>27.909999999999997</c:v>
                </c:pt>
                <c:pt idx="148">
                  <c:v>29.369999999999997</c:v>
                </c:pt>
                <c:pt idx="149">
                  <c:v>30.83</c:v>
                </c:pt>
                <c:pt idx="150">
                  <c:v>31.869999999999997</c:v>
                </c:pt>
                <c:pt idx="151">
                  <c:v>32.909999999999997</c:v>
                </c:pt>
                <c:pt idx="152">
                  <c:v>34.36999999999999</c:v>
                </c:pt>
                <c:pt idx="153">
                  <c:v>35.61999999999999</c:v>
                </c:pt>
                <c:pt idx="154">
                  <c:v>36.86999999999999</c:v>
                </c:pt>
                <c:pt idx="155">
                  <c:v>37.289999999999992</c:v>
                </c:pt>
                <c:pt idx="156">
                  <c:v>37.909999999999997</c:v>
                </c:pt>
                <c:pt idx="157">
                  <c:v>38.11999999999999</c:v>
                </c:pt>
                <c:pt idx="158">
                  <c:v>38.33</c:v>
                </c:pt>
                <c:pt idx="159">
                  <c:v>38.33</c:v>
                </c:pt>
                <c:pt idx="160">
                  <c:v>38.959999999999994</c:v>
                </c:pt>
                <c:pt idx="161">
                  <c:v>39.36999999999999</c:v>
                </c:pt>
                <c:pt idx="162">
                  <c:v>40</c:v>
                </c:pt>
                <c:pt idx="163">
                  <c:v>39.789999999999992</c:v>
                </c:pt>
                <c:pt idx="164">
                  <c:v>40</c:v>
                </c:pt>
                <c:pt idx="165">
                  <c:v>40.209999999999994</c:v>
                </c:pt>
                <c:pt idx="166">
                  <c:v>40.409999999999997</c:v>
                </c:pt>
                <c:pt idx="167">
                  <c:v>40.61999999999999</c:v>
                </c:pt>
                <c:pt idx="168">
                  <c:v>40.61999999999999</c:v>
                </c:pt>
                <c:pt idx="169">
                  <c:v>40.61999999999999</c:v>
                </c:pt>
                <c:pt idx="170">
                  <c:v>41.039999999999992</c:v>
                </c:pt>
                <c:pt idx="171">
                  <c:v>41.66</c:v>
                </c:pt>
                <c:pt idx="172">
                  <c:v>41.039999999999992</c:v>
                </c:pt>
                <c:pt idx="173">
                  <c:v>41.459999999999994</c:v>
                </c:pt>
                <c:pt idx="174">
                  <c:v>41.459999999999994</c:v>
                </c:pt>
                <c:pt idx="175">
                  <c:v>41.459999999999994</c:v>
                </c:pt>
                <c:pt idx="176">
                  <c:v>41.66</c:v>
                </c:pt>
                <c:pt idx="177">
                  <c:v>41.86999999999999</c:v>
                </c:pt>
                <c:pt idx="178">
                  <c:v>41.66</c:v>
                </c:pt>
                <c:pt idx="179">
                  <c:v>41.86999999999999</c:v>
                </c:pt>
                <c:pt idx="180">
                  <c:v>41.86999999999999</c:v>
                </c:pt>
                <c:pt idx="181">
                  <c:v>42.08</c:v>
                </c:pt>
                <c:pt idx="182">
                  <c:v>42.08</c:v>
                </c:pt>
                <c:pt idx="183">
                  <c:v>41.86999999999999</c:v>
                </c:pt>
                <c:pt idx="184">
                  <c:v>41.66</c:v>
                </c:pt>
                <c:pt idx="185">
                  <c:v>42.289999999999992</c:v>
                </c:pt>
                <c:pt idx="186">
                  <c:v>42.289999999999992</c:v>
                </c:pt>
                <c:pt idx="187">
                  <c:v>42.08</c:v>
                </c:pt>
                <c:pt idx="188">
                  <c:v>42.5</c:v>
                </c:pt>
                <c:pt idx="189">
                  <c:v>42.289999999999992</c:v>
                </c:pt>
                <c:pt idx="190">
                  <c:v>42.5</c:v>
                </c:pt>
                <c:pt idx="191">
                  <c:v>42.289999999999992</c:v>
                </c:pt>
                <c:pt idx="192">
                  <c:v>42.289999999999992</c:v>
                </c:pt>
                <c:pt idx="193">
                  <c:v>42.709999999999994</c:v>
                </c:pt>
                <c:pt idx="194">
                  <c:v>42.5</c:v>
                </c:pt>
                <c:pt idx="195">
                  <c:v>42.5</c:v>
                </c:pt>
                <c:pt idx="196">
                  <c:v>42.709999999999994</c:v>
                </c:pt>
                <c:pt idx="197">
                  <c:v>43.33</c:v>
                </c:pt>
                <c:pt idx="198">
                  <c:v>42.5</c:v>
                </c:pt>
                <c:pt idx="199">
                  <c:v>42.08</c:v>
                </c:pt>
                <c:pt idx="200">
                  <c:v>42.5</c:v>
                </c:pt>
                <c:pt idx="201">
                  <c:v>42.709999999999994</c:v>
                </c:pt>
                <c:pt idx="202">
                  <c:v>42.5</c:v>
                </c:pt>
                <c:pt idx="203">
                  <c:v>42.91</c:v>
                </c:pt>
                <c:pt idx="204">
                  <c:v>42.709999999999994</c:v>
                </c:pt>
                <c:pt idx="205">
                  <c:v>42.5</c:v>
                </c:pt>
                <c:pt idx="206">
                  <c:v>42.709999999999994</c:v>
                </c:pt>
                <c:pt idx="207">
                  <c:v>42.709999999999994</c:v>
                </c:pt>
                <c:pt idx="208">
                  <c:v>42.5</c:v>
                </c:pt>
                <c:pt idx="209">
                  <c:v>42.709999999999994</c:v>
                </c:pt>
                <c:pt idx="210">
                  <c:v>42.91</c:v>
                </c:pt>
                <c:pt idx="211">
                  <c:v>42.5</c:v>
                </c:pt>
                <c:pt idx="212">
                  <c:v>42.709999999999994</c:v>
                </c:pt>
                <c:pt idx="213">
                  <c:v>42.91</c:v>
                </c:pt>
                <c:pt idx="214">
                  <c:v>42.709999999999994</c:v>
                </c:pt>
                <c:pt idx="215">
                  <c:v>42.5</c:v>
                </c:pt>
                <c:pt idx="216">
                  <c:v>42.709999999999994</c:v>
                </c:pt>
                <c:pt idx="217">
                  <c:v>42.709999999999994</c:v>
                </c:pt>
                <c:pt idx="218">
                  <c:v>42.91</c:v>
                </c:pt>
                <c:pt idx="219">
                  <c:v>42.709999999999994</c:v>
                </c:pt>
                <c:pt idx="220">
                  <c:v>42.709999999999994</c:v>
                </c:pt>
                <c:pt idx="221">
                  <c:v>42.709999999999994</c:v>
                </c:pt>
                <c:pt idx="222">
                  <c:v>43.539999999999992</c:v>
                </c:pt>
                <c:pt idx="223">
                  <c:v>42.709999999999994</c:v>
                </c:pt>
                <c:pt idx="224">
                  <c:v>43.539999999999992</c:v>
                </c:pt>
                <c:pt idx="225">
                  <c:v>42.5</c:v>
                </c:pt>
                <c:pt idx="226">
                  <c:v>42.5</c:v>
                </c:pt>
                <c:pt idx="227">
                  <c:v>42.709999999999994</c:v>
                </c:pt>
                <c:pt idx="228">
                  <c:v>42.709999999999994</c:v>
                </c:pt>
                <c:pt idx="229">
                  <c:v>42.709999999999994</c:v>
                </c:pt>
                <c:pt idx="230">
                  <c:v>42.5</c:v>
                </c:pt>
                <c:pt idx="231">
                  <c:v>42.5</c:v>
                </c:pt>
                <c:pt idx="232">
                  <c:v>42.5</c:v>
                </c:pt>
                <c:pt idx="233">
                  <c:v>42.5</c:v>
                </c:pt>
                <c:pt idx="234">
                  <c:v>43.539999999999992</c:v>
                </c:pt>
                <c:pt idx="235">
                  <c:v>42.709999999999994</c:v>
                </c:pt>
                <c:pt idx="236">
                  <c:v>43.33</c:v>
                </c:pt>
                <c:pt idx="237">
                  <c:v>42.709999999999994</c:v>
                </c:pt>
                <c:pt idx="238">
                  <c:v>42.709999999999994</c:v>
                </c:pt>
                <c:pt idx="239">
                  <c:v>42.709999999999994</c:v>
                </c:pt>
                <c:pt idx="240">
                  <c:v>42.5</c:v>
                </c:pt>
                <c:pt idx="241">
                  <c:v>42.709999999999994</c:v>
                </c:pt>
                <c:pt idx="242">
                  <c:v>42.709999999999994</c:v>
                </c:pt>
                <c:pt idx="243">
                  <c:v>42.709999999999994</c:v>
                </c:pt>
                <c:pt idx="244">
                  <c:v>43.11999999999999</c:v>
                </c:pt>
                <c:pt idx="245">
                  <c:v>42.5</c:v>
                </c:pt>
                <c:pt idx="246">
                  <c:v>42.5</c:v>
                </c:pt>
                <c:pt idx="247">
                  <c:v>42.709999999999994</c:v>
                </c:pt>
                <c:pt idx="248">
                  <c:v>42.709999999999994</c:v>
                </c:pt>
                <c:pt idx="249">
                  <c:v>43.75</c:v>
                </c:pt>
                <c:pt idx="250">
                  <c:v>42.709999999999994</c:v>
                </c:pt>
                <c:pt idx="251">
                  <c:v>42.5</c:v>
                </c:pt>
                <c:pt idx="252">
                  <c:v>42.709999999999994</c:v>
                </c:pt>
                <c:pt idx="253">
                  <c:v>42.709999999999994</c:v>
                </c:pt>
                <c:pt idx="254">
                  <c:v>42.709999999999994</c:v>
                </c:pt>
                <c:pt idx="255">
                  <c:v>42.5</c:v>
                </c:pt>
                <c:pt idx="256">
                  <c:v>42.709999999999994</c:v>
                </c:pt>
                <c:pt idx="257">
                  <c:v>42.5</c:v>
                </c:pt>
                <c:pt idx="258">
                  <c:v>42.91</c:v>
                </c:pt>
                <c:pt idx="259">
                  <c:v>42.91</c:v>
                </c:pt>
                <c:pt idx="260">
                  <c:v>42.5</c:v>
                </c:pt>
                <c:pt idx="261">
                  <c:v>42.709999999999994</c:v>
                </c:pt>
                <c:pt idx="262">
                  <c:v>42.709999999999994</c:v>
                </c:pt>
                <c:pt idx="263">
                  <c:v>42.709999999999994</c:v>
                </c:pt>
                <c:pt idx="264">
                  <c:v>42.709999999999994</c:v>
                </c:pt>
                <c:pt idx="265">
                  <c:v>42.5</c:v>
                </c:pt>
                <c:pt idx="266">
                  <c:v>42.709999999999994</c:v>
                </c:pt>
                <c:pt idx="267">
                  <c:v>42.709999999999994</c:v>
                </c:pt>
                <c:pt idx="268">
                  <c:v>42.709999999999994</c:v>
                </c:pt>
                <c:pt idx="269">
                  <c:v>42.709999999999994</c:v>
                </c:pt>
                <c:pt idx="270">
                  <c:v>42.5</c:v>
                </c:pt>
                <c:pt idx="271">
                  <c:v>42.5</c:v>
                </c:pt>
                <c:pt idx="272">
                  <c:v>42.5</c:v>
                </c:pt>
                <c:pt idx="273">
                  <c:v>42.709999999999994</c:v>
                </c:pt>
                <c:pt idx="274">
                  <c:v>42.91</c:v>
                </c:pt>
                <c:pt idx="275">
                  <c:v>42.709999999999994</c:v>
                </c:pt>
                <c:pt idx="276">
                  <c:v>42.709999999999994</c:v>
                </c:pt>
                <c:pt idx="277">
                  <c:v>42.709999999999994</c:v>
                </c:pt>
                <c:pt idx="278">
                  <c:v>42.5</c:v>
                </c:pt>
                <c:pt idx="279">
                  <c:v>42.709999999999994</c:v>
                </c:pt>
                <c:pt idx="280">
                  <c:v>42.709999999999994</c:v>
                </c:pt>
                <c:pt idx="281">
                  <c:v>42.709999999999994</c:v>
                </c:pt>
                <c:pt idx="282">
                  <c:v>42.5</c:v>
                </c:pt>
                <c:pt idx="283">
                  <c:v>42.709999999999994</c:v>
                </c:pt>
                <c:pt idx="284">
                  <c:v>42.709999999999994</c:v>
                </c:pt>
                <c:pt idx="285">
                  <c:v>42.5</c:v>
                </c:pt>
                <c:pt idx="286">
                  <c:v>42.709999999999994</c:v>
                </c:pt>
                <c:pt idx="287">
                  <c:v>42.91</c:v>
                </c:pt>
                <c:pt idx="288">
                  <c:v>42.709999999999994</c:v>
                </c:pt>
                <c:pt idx="289">
                  <c:v>42.709999999999994</c:v>
                </c:pt>
                <c:pt idx="290">
                  <c:v>42.5</c:v>
                </c:pt>
                <c:pt idx="291">
                  <c:v>42.709999999999994</c:v>
                </c:pt>
                <c:pt idx="292">
                  <c:v>42.709999999999994</c:v>
                </c:pt>
                <c:pt idx="293">
                  <c:v>42.709999999999994</c:v>
                </c:pt>
                <c:pt idx="294">
                  <c:v>42.91</c:v>
                </c:pt>
                <c:pt idx="295">
                  <c:v>42.91</c:v>
                </c:pt>
                <c:pt idx="296">
                  <c:v>42.709999999999994</c:v>
                </c:pt>
                <c:pt idx="297">
                  <c:v>43.539999999999992</c:v>
                </c:pt>
                <c:pt idx="298">
                  <c:v>42.709999999999994</c:v>
                </c:pt>
                <c:pt idx="299">
                  <c:v>42.709999999999994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7ED-4BF6-B88F-9B019CC08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621920"/>
        <c:axId val="784657152"/>
      </c:scatterChart>
      <c:valAx>
        <c:axId val="906621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05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IN" sz="105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(s)</a:t>
                </a:r>
                <a:endParaRPr lang="en-IN" sz="105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84657152"/>
        <c:crosses val="autoZero"/>
        <c:crossBetween val="midCat"/>
      </c:valAx>
      <c:valAx>
        <c:axId val="7846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Displacement</a:t>
                </a:r>
                <a:r>
                  <a:rPr lang="en-IN" sz="11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(cm)</a:t>
                </a:r>
                <a:endParaRPr lang="en-IN" sz="11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06621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432647</xdr:colOff>
      <xdr:row>6</xdr:row>
      <xdr:rowOff>158326</xdr:rowOff>
    </xdr:from>
    <xdr:to>
      <xdr:col>14</xdr:col>
      <xdr:colOff>127847</xdr:colOff>
      <xdr:row>21</xdr:row>
      <xdr:rowOff>158326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10705D-9FAC-456B-9901-4FF4CEE21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31D0-F69F-4CDA-B2AD-1583475BDC71}">
  <dimension ref="A1:T311"/>
  <sheetViews>
    <sheetView tabSelected="1" zoomScale="90" workbookViewId="0">
      <selection activeCell="D5" sqref="D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20</v>
      </c>
      <c r="R1" t="s">
        <v>2</v>
      </c>
      <c r="S1" t="s">
        <v>17</v>
      </c>
      <c r="T1" t="s">
        <v>21</v>
      </c>
    </row>
    <row r="2" spans="1:20" x14ac:dyDescent="0.3">
      <c r="A2">
        <v>9796203</v>
      </c>
      <c r="B2">
        <v>0</v>
      </c>
      <c r="C2">
        <v>0</v>
      </c>
      <c r="D2">
        <v>-0.69</v>
      </c>
      <c r="E2">
        <v>0.01</v>
      </c>
      <c r="F2">
        <v>-0.76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2.5000000000000001E-2</v>
      </c>
      <c r="Q2">
        <v>32.090000000000003</v>
      </c>
      <c r="R2">
        <v>0</v>
      </c>
      <c r="S2">
        <v>0</v>
      </c>
      <c r="T2">
        <f>SQRT(O2*O2)*100</f>
        <v>0</v>
      </c>
    </row>
    <row r="3" spans="1:20" x14ac:dyDescent="0.3">
      <c r="A3">
        <v>9796294</v>
      </c>
      <c r="B3">
        <f>(A3-A2)/1000</f>
        <v>9.0999999999999998E-2</v>
      </c>
      <c r="C3">
        <f>(A3-$A$2)/1000</f>
        <v>9.0999999999999998E-2</v>
      </c>
      <c r="D3">
        <v>-0.68</v>
      </c>
      <c r="E3">
        <v>0.01</v>
      </c>
      <c r="F3">
        <v>-0.75</v>
      </c>
      <c r="G3">
        <f>ABS(D3-D2)</f>
        <v>9.9999999999998979E-3</v>
      </c>
      <c r="H3">
        <f>ABS(E3-E2)</f>
        <v>0</v>
      </c>
      <c r="I3">
        <f>ABS(F3-F2)</f>
        <v>1.0000000000000009E-2</v>
      </c>
      <c r="J3">
        <f>IF(ABS(D3-D2) &gt; $P$2, 1/2*(D3+D2)*9.81*B3 + J2, 0)</f>
        <v>0</v>
      </c>
      <c r="K3">
        <f>IF(ABS(E3-E2) &gt; $P$2, 1/2*(E3+E2)*9.81*B3 + K2, 0)</f>
        <v>0</v>
      </c>
      <c r="L3">
        <f>IF(ABS(F3-F2) &gt; $P$2, 1/2*(F3+F2)*9.81*B3 + L2, 0)</f>
        <v>0</v>
      </c>
      <c r="M3">
        <f>1/2*(J3+J2)*B3 + M2</f>
        <v>0</v>
      </c>
      <c r="N3">
        <f>1/2*(K3+K2)*B3 + N2</f>
        <v>0</v>
      </c>
      <c r="O3">
        <f>1/2*(L3+L2)*B3 + O2</f>
        <v>0</v>
      </c>
      <c r="Q3">
        <v>31.67</v>
      </c>
      <c r="R3">
        <v>9.0999999999999998E-2</v>
      </c>
      <c r="S3">
        <f>Q3-$Q$2</f>
        <v>-0.42000000000000171</v>
      </c>
      <c r="T3">
        <f>SQRT(O3*O3)*100</f>
        <v>0</v>
      </c>
    </row>
    <row r="4" spans="1:20" x14ac:dyDescent="0.3">
      <c r="A4">
        <v>9796384</v>
      </c>
      <c r="B4">
        <f t="shared" ref="B4:B67" si="0">(A4-A3)/1000</f>
        <v>0.09</v>
      </c>
      <c r="C4">
        <f t="shared" ref="C4:C67" si="1">(A4-$A$2)/1000</f>
        <v>0.18099999999999999</v>
      </c>
      <c r="D4">
        <v>-0.68</v>
      </c>
      <c r="E4">
        <v>0.01</v>
      </c>
      <c r="F4">
        <v>-0.75</v>
      </c>
      <c r="G4">
        <f t="shared" ref="G4:G67" si="2">ABS(D4-D3)</f>
        <v>0</v>
      </c>
      <c r="H4">
        <f t="shared" ref="H4:H67" si="3">ABS(E4-E3)</f>
        <v>0</v>
      </c>
      <c r="I4">
        <f t="shared" ref="I4:I67" si="4">ABS(F4-F3)</f>
        <v>0</v>
      </c>
      <c r="J4">
        <f>IF(ABS(D4-D3) &gt; $P$2, 1/2*(D4+D3)*9.81*B4 + J3, 0)</f>
        <v>0</v>
      </c>
      <c r="K4">
        <f>IF(ABS(E4-E3) &gt; $P$2, 1/2*(E4+E3)*9.81*B4 + K3, 0)</f>
        <v>0</v>
      </c>
      <c r="L4">
        <f>IF(ABS(F4-F3) &gt; $P$2, 1/2*(F4+F3)*9.81*B4 + L3, 0)</f>
        <v>0</v>
      </c>
      <c r="M4">
        <f t="shared" ref="M4:M67" si="5">1/2*(J4+J3)*B4 + M3</f>
        <v>0</v>
      </c>
      <c r="N4">
        <f t="shared" ref="N4:N67" si="6">1/2*(K4+K3)*B4 + N3</f>
        <v>0</v>
      </c>
      <c r="O4">
        <f t="shared" ref="O4:O67" si="7">1/2*(L4+L3)*B4 + O3</f>
        <v>0</v>
      </c>
      <c r="Q4">
        <v>31.67</v>
      </c>
      <c r="R4">
        <v>0.18099999999999999</v>
      </c>
      <c r="S4">
        <f t="shared" ref="S4:S67" si="8">Q4-$Q$2</f>
        <v>-0.42000000000000171</v>
      </c>
      <c r="T4">
        <f>SQRT(O4*O4)*100</f>
        <v>0</v>
      </c>
    </row>
    <row r="5" spans="1:20" x14ac:dyDescent="0.3">
      <c r="A5">
        <v>9796475</v>
      </c>
      <c r="B5">
        <f t="shared" si="0"/>
        <v>9.0999999999999998E-2</v>
      </c>
      <c r="C5">
        <f t="shared" si="1"/>
        <v>0.27200000000000002</v>
      </c>
      <c r="D5">
        <v>-0.68</v>
      </c>
      <c r="E5">
        <v>0.01</v>
      </c>
      <c r="F5">
        <v>-0.76</v>
      </c>
      <c r="G5">
        <f t="shared" si="2"/>
        <v>0</v>
      </c>
      <c r="H5">
        <f t="shared" si="3"/>
        <v>0</v>
      </c>
      <c r="I5">
        <f t="shared" si="4"/>
        <v>1.0000000000000009E-2</v>
      </c>
      <c r="J5">
        <f>IF(ABS(D5-D4) &gt; $P$2, 1/2*(D5+D4)*9.81*B5 + J4, 0)</f>
        <v>0</v>
      </c>
      <c r="K5">
        <f>IF(ABS(E5-E4) &gt; $P$2, 1/2*(E5+E4)*9.81*B5 + K4, 0)</f>
        <v>0</v>
      </c>
      <c r="L5">
        <f>IF(ABS(F5-F4) &gt; $P$2, 1/2*(F5+F4)*9.81*B5 + L4, 0)</f>
        <v>0</v>
      </c>
      <c r="M5">
        <f t="shared" si="5"/>
        <v>0</v>
      </c>
      <c r="N5">
        <f t="shared" si="6"/>
        <v>0</v>
      </c>
      <c r="O5">
        <f t="shared" si="7"/>
        <v>0</v>
      </c>
      <c r="Q5">
        <v>31.67</v>
      </c>
      <c r="R5">
        <v>0.27200000000000002</v>
      </c>
      <c r="S5">
        <f t="shared" si="8"/>
        <v>-0.42000000000000171</v>
      </c>
      <c r="T5">
        <f>SQRT(O5*O5)*100</f>
        <v>0</v>
      </c>
    </row>
    <row r="6" spans="1:20" x14ac:dyDescent="0.3">
      <c r="A6">
        <v>9796566</v>
      </c>
      <c r="B6">
        <f t="shared" si="0"/>
        <v>9.0999999999999998E-2</v>
      </c>
      <c r="C6">
        <f t="shared" si="1"/>
        <v>0.36299999999999999</v>
      </c>
      <c r="D6">
        <v>-0.68</v>
      </c>
      <c r="E6">
        <v>0.01</v>
      </c>
      <c r="F6">
        <v>-0.76</v>
      </c>
      <c r="G6">
        <f t="shared" si="2"/>
        <v>0</v>
      </c>
      <c r="H6">
        <f t="shared" si="3"/>
        <v>0</v>
      </c>
      <c r="I6">
        <f t="shared" si="4"/>
        <v>0</v>
      </c>
      <c r="J6">
        <f>IF(ABS(D6-D5) &gt; $P$2, 1/2*(D6+D5)*9.81*B6 + J5, 0)</f>
        <v>0</v>
      </c>
      <c r="K6">
        <f>IF(ABS(E6-E5) &gt; $P$2, 1/2*(E6+E5)*9.81*B6 + K5, 0)</f>
        <v>0</v>
      </c>
      <c r="L6">
        <f>IF(ABS(F6-F5) &gt; $P$2, 1/2*(F6+F5)*9.81*B6 + L5, 0)</f>
        <v>0</v>
      </c>
      <c r="M6">
        <f t="shared" si="5"/>
        <v>0</v>
      </c>
      <c r="N6">
        <f t="shared" si="6"/>
        <v>0</v>
      </c>
      <c r="O6">
        <f t="shared" si="7"/>
        <v>0</v>
      </c>
      <c r="Q6">
        <v>31.67</v>
      </c>
      <c r="R6">
        <v>0.36299999999999999</v>
      </c>
      <c r="S6">
        <f t="shared" si="8"/>
        <v>-0.42000000000000171</v>
      </c>
      <c r="T6">
        <f>SQRT(O6*O6)*100</f>
        <v>0</v>
      </c>
    </row>
    <row r="7" spans="1:20" x14ac:dyDescent="0.3">
      <c r="A7">
        <v>9796657</v>
      </c>
      <c r="B7">
        <f t="shared" si="0"/>
        <v>9.0999999999999998E-2</v>
      </c>
      <c r="C7">
        <f t="shared" si="1"/>
        <v>0.45400000000000001</v>
      </c>
      <c r="D7">
        <v>-0.68</v>
      </c>
      <c r="E7">
        <v>0.02</v>
      </c>
      <c r="F7">
        <v>-0.76</v>
      </c>
      <c r="G7">
        <f t="shared" si="2"/>
        <v>0</v>
      </c>
      <c r="H7">
        <f t="shared" si="3"/>
        <v>0.01</v>
      </c>
      <c r="I7">
        <f t="shared" si="4"/>
        <v>0</v>
      </c>
      <c r="J7">
        <f>IF(ABS(D7-D6) &gt; $P$2, 1/2*(D7+D6)*9.81*B7 + J6, 0)</f>
        <v>0</v>
      </c>
      <c r="K7">
        <f>IF(ABS(E7-E6) &gt; $P$2, 1/2*(E7+E6)*9.81*B7 + K6, 0)</f>
        <v>0</v>
      </c>
      <c r="L7">
        <f>IF(ABS(F7-F6) &gt; $P$2, 1/2*(F7+F6)*9.81*B7 + L6, 0)</f>
        <v>0</v>
      </c>
      <c r="M7">
        <f t="shared" si="5"/>
        <v>0</v>
      </c>
      <c r="N7">
        <f t="shared" si="6"/>
        <v>0</v>
      </c>
      <c r="O7">
        <f t="shared" si="7"/>
        <v>0</v>
      </c>
      <c r="Q7">
        <v>32.090000000000003</v>
      </c>
      <c r="R7">
        <v>0.45400000000000001</v>
      </c>
      <c r="S7">
        <f t="shared" si="8"/>
        <v>0</v>
      </c>
      <c r="T7">
        <f>SQRT(O7*O7)*100</f>
        <v>0</v>
      </c>
    </row>
    <row r="8" spans="1:20" x14ac:dyDescent="0.3">
      <c r="A8">
        <v>9796748</v>
      </c>
      <c r="B8">
        <f t="shared" si="0"/>
        <v>9.0999999999999998E-2</v>
      </c>
      <c r="C8">
        <f t="shared" si="1"/>
        <v>0.54500000000000004</v>
      </c>
      <c r="D8">
        <v>-0.67</v>
      </c>
      <c r="E8">
        <v>0.01</v>
      </c>
      <c r="F8">
        <v>-0.76</v>
      </c>
      <c r="G8">
        <f t="shared" si="2"/>
        <v>1.0000000000000009E-2</v>
      </c>
      <c r="H8">
        <f t="shared" si="3"/>
        <v>0.01</v>
      </c>
      <c r="I8">
        <f t="shared" si="4"/>
        <v>0</v>
      </c>
      <c r="J8">
        <f>IF(ABS(D8-D7) &gt; $P$2, 1/2*(D8+D7)*9.81*B8 + J7, 0)</f>
        <v>0</v>
      </c>
      <c r="K8">
        <f>IF(ABS(E8-E7) &gt; $P$2, 1/2*(E8+E7)*9.81*B8 + K7, 0)</f>
        <v>0</v>
      </c>
      <c r="L8">
        <f>IF(ABS(F8-F7) &gt; $P$2, 1/2*(F8+F7)*9.81*B8 + L7, 0)</f>
        <v>0</v>
      </c>
      <c r="M8">
        <f t="shared" si="5"/>
        <v>0</v>
      </c>
      <c r="N8">
        <f t="shared" si="6"/>
        <v>0</v>
      </c>
      <c r="O8">
        <f t="shared" si="7"/>
        <v>0</v>
      </c>
      <c r="Q8">
        <v>31.67</v>
      </c>
      <c r="R8">
        <v>0.54500000000000004</v>
      </c>
      <c r="S8">
        <f t="shared" si="8"/>
        <v>-0.42000000000000171</v>
      </c>
      <c r="T8">
        <f>SQRT(O8*O8)*100</f>
        <v>0</v>
      </c>
    </row>
    <row r="9" spans="1:20" x14ac:dyDescent="0.3">
      <c r="A9">
        <v>9796838</v>
      </c>
      <c r="B9">
        <f t="shared" si="0"/>
        <v>0.09</v>
      </c>
      <c r="C9">
        <f t="shared" si="1"/>
        <v>0.63500000000000001</v>
      </c>
      <c r="D9">
        <v>-0.68</v>
      </c>
      <c r="E9">
        <v>0.01</v>
      </c>
      <c r="F9">
        <v>-0.76</v>
      </c>
      <c r="G9">
        <f t="shared" si="2"/>
        <v>1.0000000000000009E-2</v>
      </c>
      <c r="H9">
        <f t="shared" si="3"/>
        <v>0</v>
      </c>
      <c r="I9">
        <f t="shared" si="4"/>
        <v>0</v>
      </c>
      <c r="J9">
        <f>IF(ABS(D9-D8) &gt; $P$2, 1/2*(D9+D8)*9.81*B9 + J8, 0)</f>
        <v>0</v>
      </c>
      <c r="K9">
        <f>IF(ABS(E9-E8) &gt; $P$2, 1/2*(E9+E8)*9.81*B9 + K8, 0)</f>
        <v>0</v>
      </c>
      <c r="L9">
        <f>IF(ABS(F9-F8) &gt; $P$2, 1/2*(F9+F8)*9.81*B9 + L8, 0)</f>
        <v>0</v>
      </c>
      <c r="M9">
        <f t="shared" si="5"/>
        <v>0</v>
      </c>
      <c r="N9">
        <f t="shared" si="6"/>
        <v>0</v>
      </c>
      <c r="O9">
        <f t="shared" si="7"/>
        <v>0</v>
      </c>
      <c r="Q9">
        <v>31.67</v>
      </c>
      <c r="R9">
        <v>0.63500000000000001</v>
      </c>
      <c r="S9">
        <f t="shared" si="8"/>
        <v>-0.42000000000000171</v>
      </c>
      <c r="T9">
        <f>SQRT(O9*O9)*100</f>
        <v>0</v>
      </c>
    </row>
    <row r="10" spans="1:20" x14ac:dyDescent="0.3">
      <c r="A10">
        <v>9796929</v>
      </c>
      <c r="B10">
        <f t="shared" si="0"/>
        <v>9.0999999999999998E-2</v>
      </c>
      <c r="C10">
        <f t="shared" si="1"/>
        <v>0.72599999999999998</v>
      </c>
      <c r="D10">
        <v>-0.68</v>
      </c>
      <c r="E10">
        <v>0.01</v>
      </c>
      <c r="F10">
        <v>-0.76</v>
      </c>
      <c r="G10">
        <f t="shared" si="2"/>
        <v>0</v>
      </c>
      <c r="H10">
        <f t="shared" si="3"/>
        <v>0</v>
      </c>
      <c r="I10">
        <f t="shared" si="4"/>
        <v>0</v>
      </c>
      <c r="J10">
        <f>IF(ABS(D10-D9) &gt; $P$2, 1/2*(D10+D9)*9.81*B10 + J9, 0)</f>
        <v>0</v>
      </c>
      <c r="K10">
        <f>IF(ABS(E10-E9) &gt; $P$2, 1/2*(E10+E9)*9.81*B10 + K9, 0)</f>
        <v>0</v>
      </c>
      <c r="L10">
        <f>IF(ABS(F10-F9) &gt; $P$2, 1/2*(F10+F9)*9.81*B10 + L9, 0)</f>
        <v>0</v>
      </c>
      <c r="M10">
        <f t="shared" si="5"/>
        <v>0</v>
      </c>
      <c r="N10">
        <f t="shared" si="6"/>
        <v>0</v>
      </c>
      <c r="O10">
        <f t="shared" si="7"/>
        <v>0</v>
      </c>
      <c r="Q10">
        <v>32.090000000000003</v>
      </c>
      <c r="R10">
        <v>0.72599999999999998</v>
      </c>
      <c r="S10">
        <f t="shared" si="8"/>
        <v>0</v>
      </c>
      <c r="T10">
        <f>SQRT(O10*O10)*100</f>
        <v>0</v>
      </c>
    </row>
    <row r="11" spans="1:20" x14ac:dyDescent="0.3">
      <c r="A11">
        <v>9797019</v>
      </c>
      <c r="B11">
        <f t="shared" si="0"/>
        <v>0.09</v>
      </c>
      <c r="C11">
        <f t="shared" si="1"/>
        <v>0.81599999999999995</v>
      </c>
      <c r="D11">
        <v>-0.68</v>
      </c>
      <c r="E11">
        <v>0.01</v>
      </c>
      <c r="F11">
        <v>-0.76</v>
      </c>
      <c r="G11">
        <f t="shared" si="2"/>
        <v>0</v>
      </c>
      <c r="H11">
        <f t="shared" si="3"/>
        <v>0</v>
      </c>
      <c r="I11">
        <f t="shared" si="4"/>
        <v>0</v>
      </c>
      <c r="J11">
        <f>IF(ABS(D11-D10) &gt; $P$2, 1/2*(D11+D10)*9.81*B11 + J10, 0)</f>
        <v>0</v>
      </c>
      <c r="K11">
        <f>IF(ABS(E11-E10) &gt; $P$2, 1/2*(E11+E10)*9.81*B11 + K10, 0)</f>
        <v>0</v>
      </c>
      <c r="L11">
        <f>IF(ABS(F11-F10) &gt; $P$2, 1/2*(F11+F10)*9.81*B11 + L10, 0)</f>
        <v>0</v>
      </c>
      <c r="M11">
        <f t="shared" si="5"/>
        <v>0</v>
      </c>
      <c r="N11">
        <f t="shared" si="6"/>
        <v>0</v>
      </c>
      <c r="O11">
        <f t="shared" si="7"/>
        <v>0</v>
      </c>
      <c r="Q11">
        <v>32.299999999999997</v>
      </c>
      <c r="R11">
        <v>0.81599999999999995</v>
      </c>
      <c r="S11">
        <f t="shared" si="8"/>
        <v>0.20999999999999375</v>
      </c>
      <c r="T11">
        <f>SQRT(O11*O11)*100</f>
        <v>0</v>
      </c>
    </row>
    <row r="12" spans="1:20" x14ac:dyDescent="0.3">
      <c r="A12">
        <v>9797110</v>
      </c>
      <c r="B12">
        <f t="shared" si="0"/>
        <v>9.0999999999999998E-2</v>
      </c>
      <c r="C12">
        <f t="shared" si="1"/>
        <v>0.90700000000000003</v>
      </c>
      <c r="D12">
        <v>-0.68</v>
      </c>
      <c r="E12">
        <v>0.01</v>
      </c>
      <c r="F12">
        <v>-0.75</v>
      </c>
      <c r="G12">
        <f t="shared" si="2"/>
        <v>0</v>
      </c>
      <c r="H12">
        <f t="shared" si="3"/>
        <v>0</v>
      </c>
      <c r="I12">
        <f t="shared" si="4"/>
        <v>1.0000000000000009E-2</v>
      </c>
      <c r="J12">
        <f>IF(ABS(D12-D11) &gt; $P$2, 1/2*(D12+D11)*9.81*B12 + J11, 0)</f>
        <v>0</v>
      </c>
      <c r="K12">
        <f>IF(ABS(E12-E11) &gt; $P$2, 1/2*(E12+E11)*9.81*B12 + K11, 0)</f>
        <v>0</v>
      </c>
      <c r="L12">
        <f>IF(ABS(F12-F11) &gt; $P$2, 1/2*(F12+F11)*9.81*B12 + L11, 0)</f>
        <v>0</v>
      </c>
      <c r="M12">
        <f t="shared" si="5"/>
        <v>0</v>
      </c>
      <c r="N12">
        <f t="shared" si="6"/>
        <v>0</v>
      </c>
      <c r="O12">
        <f t="shared" si="7"/>
        <v>0</v>
      </c>
      <c r="Q12">
        <v>32.090000000000003</v>
      </c>
      <c r="R12">
        <v>0.90700000000000003</v>
      </c>
      <c r="S12">
        <f t="shared" si="8"/>
        <v>0</v>
      </c>
      <c r="T12">
        <f>SQRT(O12*O12)*100</f>
        <v>0</v>
      </c>
    </row>
    <row r="13" spans="1:20" x14ac:dyDescent="0.3">
      <c r="A13">
        <v>9797201</v>
      </c>
      <c r="B13">
        <f t="shared" si="0"/>
        <v>9.0999999999999998E-2</v>
      </c>
      <c r="C13">
        <f t="shared" si="1"/>
        <v>0.998</v>
      </c>
      <c r="D13">
        <v>-0.69</v>
      </c>
      <c r="E13">
        <v>0.01</v>
      </c>
      <c r="F13">
        <v>-0.76</v>
      </c>
      <c r="G13">
        <f t="shared" si="2"/>
        <v>9.9999999999998979E-3</v>
      </c>
      <c r="H13">
        <f t="shared" si="3"/>
        <v>0</v>
      </c>
      <c r="I13">
        <f t="shared" si="4"/>
        <v>1.0000000000000009E-2</v>
      </c>
      <c r="J13">
        <f>IF(ABS(D13-D12) &gt; $P$2, 1/2*(D13+D12)*9.81*B13 + J12, 0)</f>
        <v>0</v>
      </c>
      <c r="K13">
        <f>IF(ABS(E13-E12) &gt; $P$2, 1/2*(E13+E12)*9.81*B13 + K12, 0)</f>
        <v>0</v>
      </c>
      <c r="L13">
        <f>IF(ABS(F13-F12) &gt; $P$2, 1/2*(F13+F12)*9.81*B13 + L12, 0)</f>
        <v>0</v>
      </c>
      <c r="M13">
        <f t="shared" si="5"/>
        <v>0</v>
      </c>
      <c r="N13">
        <f t="shared" si="6"/>
        <v>0</v>
      </c>
      <c r="O13">
        <f t="shared" si="7"/>
        <v>0</v>
      </c>
      <c r="Q13">
        <v>32.299999999999997</v>
      </c>
      <c r="R13">
        <v>0.998</v>
      </c>
      <c r="S13">
        <f t="shared" si="8"/>
        <v>0.20999999999999375</v>
      </c>
      <c r="T13">
        <f>SQRT(O13*O13)*100</f>
        <v>0</v>
      </c>
    </row>
    <row r="14" spans="1:20" x14ac:dyDescent="0.3">
      <c r="A14">
        <v>9797292</v>
      </c>
      <c r="B14">
        <f t="shared" si="0"/>
        <v>9.0999999999999998E-2</v>
      </c>
      <c r="C14">
        <f t="shared" si="1"/>
        <v>1.089</v>
      </c>
      <c r="D14">
        <v>-0.68</v>
      </c>
      <c r="E14">
        <v>0.01</v>
      </c>
      <c r="F14">
        <v>-0.75</v>
      </c>
      <c r="G14">
        <f t="shared" si="2"/>
        <v>9.9999999999998979E-3</v>
      </c>
      <c r="H14">
        <f t="shared" si="3"/>
        <v>0</v>
      </c>
      <c r="I14">
        <f t="shared" si="4"/>
        <v>1.0000000000000009E-2</v>
      </c>
      <c r="J14">
        <f>IF(ABS(D14-D13) &gt; $P$2, 1/2*(D14+D13)*9.81*B14 + J13, 0)</f>
        <v>0</v>
      </c>
      <c r="K14">
        <f>IF(ABS(E14-E13) &gt; $P$2, 1/2*(E14+E13)*9.81*B14 + K13, 0)</f>
        <v>0</v>
      </c>
      <c r="L14">
        <f>IF(ABS(F14-F13) &gt; $P$2, 1/2*(F14+F13)*9.81*B14 + L13, 0)</f>
        <v>0</v>
      </c>
      <c r="M14">
        <f t="shared" si="5"/>
        <v>0</v>
      </c>
      <c r="N14">
        <f t="shared" si="6"/>
        <v>0</v>
      </c>
      <c r="O14">
        <f t="shared" si="7"/>
        <v>0</v>
      </c>
      <c r="Q14">
        <v>31.67</v>
      </c>
      <c r="R14">
        <v>1.089</v>
      </c>
      <c r="S14">
        <f t="shared" si="8"/>
        <v>-0.42000000000000171</v>
      </c>
      <c r="T14">
        <f>SQRT(O14*O14)*100</f>
        <v>0</v>
      </c>
    </row>
    <row r="15" spans="1:20" x14ac:dyDescent="0.3">
      <c r="A15">
        <v>9797383</v>
      </c>
      <c r="B15">
        <f t="shared" si="0"/>
        <v>9.0999999999999998E-2</v>
      </c>
      <c r="C15">
        <f t="shared" si="1"/>
        <v>1.18</v>
      </c>
      <c r="D15">
        <v>-0.68</v>
      </c>
      <c r="E15">
        <v>0.01</v>
      </c>
      <c r="F15">
        <v>-0.75</v>
      </c>
      <c r="G15">
        <f t="shared" si="2"/>
        <v>0</v>
      </c>
      <c r="H15">
        <f t="shared" si="3"/>
        <v>0</v>
      </c>
      <c r="I15">
        <f t="shared" si="4"/>
        <v>0</v>
      </c>
      <c r="J15">
        <f>IF(ABS(D15-D14) &gt; $P$2, 1/2*(D15+D14)*9.81*B15 + J14, 0)</f>
        <v>0</v>
      </c>
      <c r="K15">
        <f>IF(ABS(E15-E14) &gt; $P$2, 1/2*(E15+E14)*9.81*B15 + K14, 0)</f>
        <v>0</v>
      </c>
      <c r="L15">
        <f>IF(ABS(F15-F14) &gt; $P$2, 1/2*(F15+F14)*9.81*B15 + L14, 0)</f>
        <v>0</v>
      </c>
      <c r="M15">
        <f t="shared" si="5"/>
        <v>0</v>
      </c>
      <c r="N15">
        <f t="shared" si="6"/>
        <v>0</v>
      </c>
      <c r="O15">
        <f t="shared" si="7"/>
        <v>0</v>
      </c>
      <c r="Q15">
        <v>32.090000000000003</v>
      </c>
      <c r="R15">
        <v>1.18</v>
      </c>
      <c r="S15">
        <f t="shared" si="8"/>
        <v>0</v>
      </c>
      <c r="T15">
        <f>SQRT(O15*O15)*100</f>
        <v>0</v>
      </c>
    </row>
    <row r="16" spans="1:20" x14ac:dyDescent="0.3">
      <c r="A16">
        <v>9797473</v>
      </c>
      <c r="B16">
        <f t="shared" si="0"/>
        <v>0.09</v>
      </c>
      <c r="C16">
        <f t="shared" si="1"/>
        <v>1.27</v>
      </c>
      <c r="D16">
        <v>-0.68</v>
      </c>
      <c r="E16">
        <v>0.01</v>
      </c>
      <c r="F16">
        <v>-0.76</v>
      </c>
      <c r="G16">
        <f t="shared" si="2"/>
        <v>0</v>
      </c>
      <c r="H16">
        <f t="shared" si="3"/>
        <v>0</v>
      </c>
      <c r="I16">
        <f t="shared" si="4"/>
        <v>1.0000000000000009E-2</v>
      </c>
      <c r="J16">
        <f>IF(ABS(D16-D15) &gt; $P$2, 1/2*(D16+D15)*9.81*B16 + J15, 0)</f>
        <v>0</v>
      </c>
      <c r="K16">
        <f>IF(ABS(E16-E15) &gt; $P$2, 1/2*(E16+E15)*9.81*B16 + K15, 0)</f>
        <v>0</v>
      </c>
      <c r="L16">
        <f>IF(ABS(F16-F15) &gt; $P$2, 1/2*(F16+F15)*9.81*B16 + L15, 0)</f>
        <v>0</v>
      </c>
      <c r="M16">
        <f t="shared" si="5"/>
        <v>0</v>
      </c>
      <c r="N16">
        <f t="shared" si="6"/>
        <v>0</v>
      </c>
      <c r="O16">
        <f t="shared" si="7"/>
        <v>0</v>
      </c>
      <c r="Q16">
        <v>32.090000000000003</v>
      </c>
      <c r="R16">
        <v>1.27</v>
      </c>
      <c r="S16">
        <f t="shared" si="8"/>
        <v>0</v>
      </c>
      <c r="T16">
        <f>SQRT(O16*O16)*100</f>
        <v>0</v>
      </c>
    </row>
    <row r="17" spans="1:20" x14ac:dyDescent="0.3">
      <c r="A17">
        <v>9797564</v>
      </c>
      <c r="B17">
        <f t="shared" si="0"/>
        <v>9.0999999999999998E-2</v>
      </c>
      <c r="C17">
        <f t="shared" si="1"/>
        <v>1.361</v>
      </c>
      <c r="D17">
        <v>-0.68</v>
      </c>
      <c r="E17">
        <v>0</v>
      </c>
      <c r="F17">
        <v>-0.76</v>
      </c>
      <c r="G17">
        <f t="shared" si="2"/>
        <v>0</v>
      </c>
      <c r="H17">
        <f t="shared" si="3"/>
        <v>0.01</v>
      </c>
      <c r="I17">
        <f t="shared" si="4"/>
        <v>0</v>
      </c>
      <c r="J17">
        <f>IF(ABS(D17-D16) &gt; $P$2, 1/2*(D17+D16)*9.81*B17 + J16, 0)</f>
        <v>0</v>
      </c>
      <c r="K17">
        <f>IF(ABS(E17-E16) &gt; $P$2, 1/2*(E17+E16)*9.81*B17 + K16, 0)</f>
        <v>0</v>
      </c>
      <c r="L17">
        <f>IF(ABS(F17-F16) &gt; $P$2, 1/2*(F17+F16)*9.81*B17 + L16, 0)</f>
        <v>0</v>
      </c>
      <c r="M17">
        <f t="shared" si="5"/>
        <v>0</v>
      </c>
      <c r="N17">
        <f t="shared" si="6"/>
        <v>0</v>
      </c>
      <c r="O17">
        <f t="shared" si="7"/>
        <v>0</v>
      </c>
      <c r="Q17">
        <v>31.67</v>
      </c>
      <c r="R17">
        <v>1.361</v>
      </c>
      <c r="S17">
        <f t="shared" si="8"/>
        <v>-0.42000000000000171</v>
      </c>
      <c r="T17">
        <f>SQRT(O17*O17)*100</f>
        <v>0</v>
      </c>
    </row>
    <row r="18" spans="1:20" x14ac:dyDescent="0.3">
      <c r="A18">
        <v>9797655</v>
      </c>
      <c r="B18">
        <f t="shared" si="0"/>
        <v>9.0999999999999998E-2</v>
      </c>
      <c r="C18">
        <f t="shared" si="1"/>
        <v>1.452</v>
      </c>
      <c r="D18">
        <v>-0.68</v>
      </c>
      <c r="E18">
        <v>0.01</v>
      </c>
      <c r="F18">
        <v>-0.76</v>
      </c>
      <c r="G18">
        <f t="shared" si="2"/>
        <v>0</v>
      </c>
      <c r="H18">
        <f t="shared" si="3"/>
        <v>0.01</v>
      </c>
      <c r="I18">
        <f t="shared" si="4"/>
        <v>0</v>
      </c>
      <c r="J18">
        <f>IF(ABS(D18-D17) &gt; $P$2, 1/2*(D18+D17)*9.81*B18 + J17, 0)</f>
        <v>0</v>
      </c>
      <c r="K18">
        <f>IF(ABS(E18-E17) &gt; $P$2, 1/2*(E18+E17)*9.81*B18 + K17, 0)</f>
        <v>0</v>
      </c>
      <c r="L18">
        <f>IF(ABS(F18-F17) &gt; $P$2, 1/2*(F18+F17)*9.81*B18 + L17, 0)</f>
        <v>0</v>
      </c>
      <c r="M18">
        <f t="shared" si="5"/>
        <v>0</v>
      </c>
      <c r="N18">
        <f t="shared" si="6"/>
        <v>0</v>
      </c>
      <c r="O18">
        <f t="shared" si="7"/>
        <v>0</v>
      </c>
      <c r="Q18">
        <v>31.67</v>
      </c>
      <c r="R18">
        <v>1.452</v>
      </c>
      <c r="S18">
        <f t="shared" si="8"/>
        <v>-0.42000000000000171</v>
      </c>
      <c r="T18">
        <f>SQRT(O18*O18)*100</f>
        <v>0</v>
      </c>
    </row>
    <row r="19" spans="1:20" x14ac:dyDescent="0.3">
      <c r="A19">
        <v>9797745</v>
      </c>
      <c r="B19">
        <f t="shared" si="0"/>
        <v>0.09</v>
      </c>
      <c r="C19">
        <f t="shared" si="1"/>
        <v>1.542</v>
      </c>
      <c r="D19">
        <v>-0.68</v>
      </c>
      <c r="E19">
        <v>0.01</v>
      </c>
      <c r="F19">
        <v>-0.76</v>
      </c>
      <c r="G19">
        <f t="shared" si="2"/>
        <v>0</v>
      </c>
      <c r="H19">
        <f t="shared" si="3"/>
        <v>0</v>
      </c>
      <c r="I19">
        <f t="shared" si="4"/>
        <v>0</v>
      </c>
      <c r="J19">
        <f>IF(ABS(D19-D18) &gt; $P$2, 1/2*(D19+D18)*9.81*B19 + J18, 0)</f>
        <v>0</v>
      </c>
      <c r="K19">
        <f>IF(ABS(E19-E18) &gt; $P$2, 1/2*(E19+E18)*9.81*B19 + K18, 0)</f>
        <v>0</v>
      </c>
      <c r="L19">
        <f>IF(ABS(F19-F18) &gt; $P$2, 1/2*(F19+F18)*9.81*B19 + L18, 0)</f>
        <v>0</v>
      </c>
      <c r="M19">
        <f t="shared" si="5"/>
        <v>0</v>
      </c>
      <c r="N19">
        <f t="shared" si="6"/>
        <v>0</v>
      </c>
      <c r="O19">
        <f t="shared" si="7"/>
        <v>0</v>
      </c>
      <c r="Q19">
        <v>31.67</v>
      </c>
      <c r="R19">
        <v>1.542</v>
      </c>
      <c r="S19">
        <f t="shared" si="8"/>
        <v>-0.42000000000000171</v>
      </c>
      <c r="T19">
        <f>SQRT(O19*O19)*100</f>
        <v>0</v>
      </c>
    </row>
    <row r="20" spans="1:20" x14ac:dyDescent="0.3">
      <c r="A20">
        <v>9797836</v>
      </c>
      <c r="B20">
        <f t="shared" si="0"/>
        <v>9.0999999999999998E-2</v>
      </c>
      <c r="C20">
        <f t="shared" si="1"/>
        <v>1.633</v>
      </c>
      <c r="D20">
        <v>-0.69</v>
      </c>
      <c r="E20">
        <v>0.01</v>
      </c>
      <c r="F20">
        <v>-0.76</v>
      </c>
      <c r="G20">
        <f t="shared" si="2"/>
        <v>9.9999999999998979E-3</v>
      </c>
      <c r="H20">
        <f t="shared" si="3"/>
        <v>0</v>
      </c>
      <c r="I20">
        <f t="shared" si="4"/>
        <v>0</v>
      </c>
      <c r="J20">
        <f>IF(ABS(D20-D19) &gt; $P$2, 1/2*(D20+D19)*9.81*B20 + J19, 0)</f>
        <v>0</v>
      </c>
      <c r="K20">
        <f>IF(ABS(E20-E19) &gt; $P$2, 1/2*(E20+E19)*9.81*B20 + K19, 0)</f>
        <v>0</v>
      </c>
      <c r="L20">
        <f>IF(ABS(F20-F19) &gt; $P$2, 1/2*(F20+F19)*9.81*B20 + L19, 0)</f>
        <v>0</v>
      </c>
      <c r="M20">
        <f t="shared" si="5"/>
        <v>0</v>
      </c>
      <c r="N20">
        <f t="shared" si="6"/>
        <v>0</v>
      </c>
      <c r="O20">
        <f t="shared" si="7"/>
        <v>0</v>
      </c>
      <c r="Q20">
        <v>31.67</v>
      </c>
      <c r="R20">
        <v>1.633</v>
      </c>
      <c r="S20">
        <f t="shared" si="8"/>
        <v>-0.42000000000000171</v>
      </c>
      <c r="T20">
        <f>SQRT(O20*O20)*100</f>
        <v>0</v>
      </c>
    </row>
    <row r="21" spans="1:20" x14ac:dyDescent="0.3">
      <c r="A21">
        <v>9797926</v>
      </c>
      <c r="B21">
        <f t="shared" si="0"/>
        <v>0.09</v>
      </c>
      <c r="C21">
        <f t="shared" si="1"/>
        <v>1.7230000000000001</v>
      </c>
      <c r="D21">
        <v>-0.68</v>
      </c>
      <c r="E21">
        <v>0.01</v>
      </c>
      <c r="F21">
        <v>-0.76</v>
      </c>
      <c r="G21">
        <f t="shared" si="2"/>
        <v>9.9999999999998979E-3</v>
      </c>
      <c r="H21">
        <f t="shared" si="3"/>
        <v>0</v>
      </c>
      <c r="I21">
        <f t="shared" si="4"/>
        <v>0</v>
      </c>
      <c r="J21">
        <f>IF(ABS(D21-D20) &gt; $P$2, 1/2*(D21+D20)*9.81*B21 + J20, 0)</f>
        <v>0</v>
      </c>
      <c r="K21">
        <f>IF(ABS(E21-E20) &gt; $P$2, 1/2*(E21+E20)*9.81*B21 + K20, 0)</f>
        <v>0</v>
      </c>
      <c r="L21">
        <f>IF(ABS(F21-F20) &gt; $P$2, 1/2*(F21+F20)*9.81*B21 + L20, 0)</f>
        <v>0</v>
      </c>
      <c r="M21">
        <f t="shared" si="5"/>
        <v>0</v>
      </c>
      <c r="N21">
        <f t="shared" si="6"/>
        <v>0</v>
      </c>
      <c r="O21">
        <f t="shared" si="7"/>
        <v>0</v>
      </c>
      <c r="Q21">
        <v>32.090000000000003</v>
      </c>
      <c r="R21">
        <v>1.7230000000000001</v>
      </c>
      <c r="S21">
        <f t="shared" si="8"/>
        <v>0</v>
      </c>
      <c r="T21">
        <f>SQRT(O21*O21)*100</f>
        <v>0</v>
      </c>
    </row>
    <row r="22" spans="1:20" x14ac:dyDescent="0.3">
      <c r="A22">
        <v>9798018</v>
      </c>
      <c r="B22">
        <f t="shared" si="0"/>
        <v>9.1999999999999998E-2</v>
      </c>
      <c r="C22">
        <f t="shared" si="1"/>
        <v>1.8149999999999999</v>
      </c>
      <c r="D22">
        <v>-0.68</v>
      </c>
      <c r="E22">
        <v>0.01</v>
      </c>
      <c r="F22">
        <v>-0.75</v>
      </c>
      <c r="G22">
        <f t="shared" si="2"/>
        <v>0</v>
      </c>
      <c r="H22">
        <f t="shared" si="3"/>
        <v>0</v>
      </c>
      <c r="I22">
        <f t="shared" si="4"/>
        <v>1.0000000000000009E-2</v>
      </c>
      <c r="J22">
        <f>IF(ABS(D22-D21) &gt; $P$2, 1/2*(D22+D21)*9.81*B22 + J21, 0)</f>
        <v>0</v>
      </c>
      <c r="K22">
        <f>IF(ABS(E22-E21) &gt; $P$2, 1/2*(E22+E21)*9.81*B22 + K21, 0)</f>
        <v>0</v>
      </c>
      <c r="L22">
        <f>IF(ABS(F22-F21) &gt; $P$2, 1/2*(F22+F21)*9.81*B22 + L21, 0)</f>
        <v>0</v>
      </c>
      <c r="M22">
        <f t="shared" si="5"/>
        <v>0</v>
      </c>
      <c r="N22">
        <f t="shared" si="6"/>
        <v>0</v>
      </c>
      <c r="O22">
        <f t="shared" si="7"/>
        <v>0</v>
      </c>
      <c r="Q22">
        <v>31.67</v>
      </c>
      <c r="R22">
        <v>1.8149999999999999</v>
      </c>
      <c r="S22">
        <f t="shared" si="8"/>
        <v>-0.42000000000000171</v>
      </c>
      <c r="T22">
        <f>SQRT(O22*O22)*100</f>
        <v>0</v>
      </c>
    </row>
    <row r="23" spans="1:20" x14ac:dyDescent="0.3">
      <c r="A23">
        <v>9798109</v>
      </c>
      <c r="B23">
        <f t="shared" si="0"/>
        <v>9.0999999999999998E-2</v>
      </c>
      <c r="C23">
        <f t="shared" si="1"/>
        <v>1.9059999999999999</v>
      </c>
      <c r="D23">
        <v>-0.69</v>
      </c>
      <c r="E23">
        <v>0.01</v>
      </c>
      <c r="F23">
        <v>-0.76</v>
      </c>
      <c r="G23">
        <f t="shared" si="2"/>
        <v>9.9999999999998979E-3</v>
      </c>
      <c r="H23">
        <f t="shared" si="3"/>
        <v>0</v>
      </c>
      <c r="I23">
        <f t="shared" si="4"/>
        <v>1.0000000000000009E-2</v>
      </c>
      <c r="J23">
        <f>IF(ABS(D23-D22) &gt; $P$2, 1/2*(D23+D22)*9.81*B23 + J22, 0)</f>
        <v>0</v>
      </c>
      <c r="K23">
        <f>IF(ABS(E23-E22) &gt; $P$2, 1/2*(E23+E22)*9.81*B23 + K22, 0)</f>
        <v>0</v>
      </c>
      <c r="L23">
        <f>IF(ABS(F23-F22) &gt; $P$2, 1/2*(F23+F22)*9.81*B23 + L22, 0)</f>
        <v>0</v>
      </c>
      <c r="M23">
        <f t="shared" si="5"/>
        <v>0</v>
      </c>
      <c r="N23">
        <f t="shared" si="6"/>
        <v>0</v>
      </c>
      <c r="O23">
        <f t="shared" si="7"/>
        <v>0</v>
      </c>
      <c r="Q23">
        <v>31.67</v>
      </c>
      <c r="R23">
        <v>1.9059999999999999</v>
      </c>
      <c r="S23">
        <f t="shared" si="8"/>
        <v>-0.42000000000000171</v>
      </c>
      <c r="T23">
        <f>SQRT(O23*O23)*100</f>
        <v>0</v>
      </c>
    </row>
    <row r="24" spans="1:20" x14ac:dyDescent="0.3">
      <c r="A24">
        <v>9798199</v>
      </c>
      <c r="B24">
        <f t="shared" si="0"/>
        <v>0.09</v>
      </c>
      <c r="C24">
        <f t="shared" si="1"/>
        <v>1.996</v>
      </c>
      <c r="D24">
        <v>-0.68</v>
      </c>
      <c r="E24">
        <v>0.01</v>
      </c>
      <c r="F24">
        <v>-0.75</v>
      </c>
      <c r="G24">
        <f t="shared" si="2"/>
        <v>9.9999999999998979E-3</v>
      </c>
      <c r="H24">
        <f t="shared" si="3"/>
        <v>0</v>
      </c>
      <c r="I24">
        <f t="shared" si="4"/>
        <v>1.0000000000000009E-2</v>
      </c>
      <c r="J24">
        <f>IF(ABS(D24-D23) &gt; $P$2, 1/2*(D24+D23)*9.81*B24 + J23, 0)</f>
        <v>0</v>
      </c>
      <c r="K24">
        <f>IF(ABS(E24-E23) &gt; $P$2, 1/2*(E24+E23)*9.81*B24 + K23, 0)</f>
        <v>0</v>
      </c>
      <c r="L24">
        <f>IF(ABS(F24-F23) &gt; $P$2, 1/2*(F24+F23)*9.81*B24 + L23, 0)</f>
        <v>0</v>
      </c>
      <c r="M24">
        <f t="shared" si="5"/>
        <v>0</v>
      </c>
      <c r="N24">
        <f t="shared" si="6"/>
        <v>0</v>
      </c>
      <c r="O24">
        <f t="shared" si="7"/>
        <v>0</v>
      </c>
      <c r="Q24">
        <v>31.88</v>
      </c>
      <c r="R24">
        <v>1.996</v>
      </c>
      <c r="S24">
        <f t="shared" si="8"/>
        <v>-0.21000000000000441</v>
      </c>
      <c r="T24">
        <f>SQRT(O24*O24)*100</f>
        <v>0</v>
      </c>
    </row>
    <row r="25" spans="1:20" x14ac:dyDescent="0.3">
      <c r="A25">
        <v>9798290</v>
      </c>
      <c r="B25">
        <f t="shared" si="0"/>
        <v>9.0999999999999998E-2</v>
      </c>
      <c r="C25">
        <f t="shared" si="1"/>
        <v>2.0870000000000002</v>
      </c>
      <c r="D25">
        <v>-0.68</v>
      </c>
      <c r="E25">
        <v>0.01</v>
      </c>
      <c r="F25">
        <v>-0.75</v>
      </c>
      <c r="G25">
        <f t="shared" si="2"/>
        <v>0</v>
      </c>
      <c r="H25">
        <f t="shared" si="3"/>
        <v>0</v>
      </c>
      <c r="I25">
        <f t="shared" si="4"/>
        <v>0</v>
      </c>
      <c r="J25">
        <f>IF(ABS(D25-D24) &gt; $P$2, 1/2*(D25+D24)*9.81*B25 + J24, 0)</f>
        <v>0</v>
      </c>
      <c r="K25">
        <f>IF(ABS(E25-E24) &gt; $P$2, 1/2*(E25+E24)*9.81*B25 + K24, 0)</f>
        <v>0</v>
      </c>
      <c r="L25">
        <f>IF(ABS(F25-F24) &gt; $P$2, 1/2*(F25+F24)*9.81*B25 + L24, 0)</f>
        <v>0</v>
      </c>
      <c r="M25">
        <f t="shared" si="5"/>
        <v>0</v>
      </c>
      <c r="N25">
        <f t="shared" si="6"/>
        <v>0</v>
      </c>
      <c r="O25">
        <f t="shared" si="7"/>
        <v>0</v>
      </c>
      <c r="Q25">
        <v>32.299999999999997</v>
      </c>
      <c r="R25">
        <v>2.0870000000000002</v>
      </c>
      <c r="S25">
        <f t="shared" si="8"/>
        <v>0.20999999999999375</v>
      </c>
      <c r="T25">
        <f>SQRT(O25*O25)*100</f>
        <v>0</v>
      </c>
    </row>
    <row r="26" spans="1:20" x14ac:dyDescent="0.3">
      <c r="A26">
        <v>9798380</v>
      </c>
      <c r="B26">
        <f t="shared" si="0"/>
        <v>0.09</v>
      </c>
      <c r="C26">
        <f t="shared" si="1"/>
        <v>2.177</v>
      </c>
      <c r="D26">
        <v>-0.68</v>
      </c>
      <c r="E26">
        <v>0.01</v>
      </c>
      <c r="F26" s="2">
        <v>-0.75</v>
      </c>
      <c r="G26">
        <f t="shared" si="2"/>
        <v>0</v>
      </c>
      <c r="H26">
        <f t="shared" si="3"/>
        <v>0</v>
      </c>
      <c r="I26">
        <f t="shared" si="4"/>
        <v>0</v>
      </c>
      <c r="J26">
        <f>IF(ABS(D26-D25) &gt; $P$2, 1/2*(D26+D25)*9.81*B26 + J25, 0)</f>
        <v>0</v>
      </c>
      <c r="K26">
        <f>IF(ABS(E26-E25) &gt; $P$2, 1/2*(E26+E25)*9.81*B26 + K25, 0)</f>
        <v>0</v>
      </c>
      <c r="L26">
        <f>IF(ABS(F26-F25) &gt; $P$2, 1/2*(F26+F25)*9.81*B26 + L25, 0)</f>
        <v>0</v>
      </c>
      <c r="M26">
        <f t="shared" si="5"/>
        <v>0</v>
      </c>
      <c r="N26">
        <f t="shared" si="6"/>
        <v>0</v>
      </c>
      <c r="O26">
        <f t="shared" si="7"/>
        <v>0</v>
      </c>
      <c r="Q26">
        <v>32.090000000000003</v>
      </c>
      <c r="R26">
        <v>2.177</v>
      </c>
      <c r="S26">
        <f t="shared" si="8"/>
        <v>0</v>
      </c>
      <c r="T26">
        <f>SQRT(O26*O26)*100</f>
        <v>0</v>
      </c>
    </row>
    <row r="27" spans="1:20" x14ac:dyDescent="0.3">
      <c r="A27">
        <v>9798471</v>
      </c>
      <c r="B27">
        <f t="shared" si="0"/>
        <v>9.0999999999999998E-2</v>
      </c>
      <c r="C27">
        <f t="shared" si="1"/>
        <v>2.2679999999999998</v>
      </c>
      <c r="D27">
        <v>-0.68</v>
      </c>
      <c r="E27">
        <v>0.01</v>
      </c>
      <c r="F27">
        <v>-0.76</v>
      </c>
      <c r="G27">
        <f t="shared" si="2"/>
        <v>0</v>
      </c>
      <c r="H27">
        <f t="shared" si="3"/>
        <v>0</v>
      </c>
      <c r="I27">
        <f t="shared" si="4"/>
        <v>1.0000000000000009E-2</v>
      </c>
      <c r="J27">
        <f>IF(ABS(D27-D26) &gt; $P$2, 1/2*(D27+D26)*9.81*B27 + J26, 0)</f>
        <v>0</v>
      </c>
      <c r="K27">
        <f>IF(ABS(E27-E26) &gt; $P$2, 1/2*(E27+E26)*9.81*B27 + K26, 0)</f>
        <v>0</v>
      </c>
      <c r="L27">
        <f>IF(ABS(F27-F26) &gt; $P$2, 1/2*(F27+F26)*9.81*B27 + L26, 0)</f>
        <v>0</v>
      </c>
      <c r="M27">
        <f t="shared" si="5"/>
        <v>0</v>
      </c>
      <c r="N27">
        <f t="shared" si="6"/>
        <v>0</v>
      </c>
      <c r="O27">
        <f t="shared" si="7"/>
        <v>0</v>
      </c>
      <c r="Q27">
        <v>32.299999999999997</v>
      </c>
      <c r="R27">
        <v>2.2679999999999998</v>
      </c>
      <c r="S27">
        <f t="shared" si="8"/>
        <v>0.20999999999999375</v>
      </c>
      <c r="T27">
        <f>SQRT(O27*O27)*100</f>
        <v>0</v>
      </c>
    </row>
    <row r="28" spans="1:20" x14ac:dyDescent="0.3">
      <c r="A28">
        <v>9798562</v>
      </c>
      <c r="B28">
        <f t="shared" si="0"/>
        <v>9.0999999999999998E-2</v>
      </c>
      <c r="C28">
        <f t="shared" si="1"/>
        <v>2.359</v>
      </c>
      <c r="D28">
        <v>-0.69</v>
      </c>
      <c r="E28">
        <v>0.01</v>
      </c>
      <c r="F28">
        <v>-0.76</v>
      </c>
      <c r="G28">
        <f t="shared" si="2"/>
        <v>9.9999999999998979E-3</v>
      </c>
      <c r="H28">
        <f t="shared" si="3"/>
        <v>0</v>
      </c>
      <c r="I28">
        <f t="shared" si="4"/>
        <v>0</v>
      </c>
      <c r="J28">
        <f>IF(ABS(D28-D27) &gt; $P$2, 1/2*(D28+D27)*9.81*B28 + J27, 0)</f>
        <v>0</v>
      </c>
      <c r="K28">
        <f>IF(ABS(E28-E27) &gt; $P$2, 1/2*(E28+E27)*9.81*B28 + K27, 0)</f>
        <v>0</v>
      </c>
      <c r="L28">
        <f>IF(ABS(F28-F27) &gt; $P$2, 1/2*(F28+F27)*9.81*B28 + L27, 0)</f>
        <v>0</v>
      </c>
      <c r="M28">
        <f t="shared" si="5"/>
        <v>0</v>
      </c>
      <c r="N28">
        <f t="shared" si="6"/>
        <v>0</v>
      </c>
      <c r="O28">
        <f t="shared" si="7"/>
        <v>0</v>
      </c>
      <c r="Q28">
        <v>31.67</v>
      </c>
      <c r="R28">
        <v>2.359</v>
      </c>
      <c r="S28">
        <f t="shared" si="8"/>
        <v>-0.42000000000000171</v>
      </c>
      <c r="T28">
        <f>SQRT(O28*O28)*100</f>
        <v>0</v>
      </c>
    </row>
    <row r="29" spans="1:20" x14ac:dyDescent="0.3">
      <c r="A29">
        <v>9798652</v>
      </c>
      <c r="B29">
        <f t="shared" si="0"/>
        <v>0.09</v>
      </c>
      <c r="C29">
        <f t="shared" si="1"/>
        <v>2.4489999999999998</v>
      </c>
      <c r="D29">
        <v>-0.68</v>
      </c>
      <c r="E29">
        <v>0.01</v>
      </c>
      <c r="F29">
        <v>-0.76</v>
      </c>
      <c r="G29">
        <f t="shared" si="2"/>
        <v>9.9999999999998979E-3</v>
      </c>
      <c r="H29">
        <f t="shared" si="3"/>
        <v>0</v>
      </c>
      <c r="I29">
        <f t="shared" si="4"/>
        <v>0</v>
      </c>
      <c r="J29">
        <f>IF(ABS(D29-D28) &gt; $P$2, 1/2*(D29+D28)*9.81*B29 + J28, 0)</f>
        <v>0</v>
      </c>
      <c r="K29">
        <f>IF(ABS(E29-E28) &gt; $P$2, 1/2*(E29+E28)*9.81*B29 + K28, 0)</f>
        <v>0</v>
      </c>
      <c r="L29">
        <f>IF(ABS(F29-F28) &gt; $P$2, 1/2*(F29+F28)*9.81*B29 + L28, 0)</f>
        <v>0</v>
      </c>
      <c r="M29">
        <f t="shared" si="5"/>
        <v>0</v>
      </c>
      <c r="N29">
        <f t="shared" si="6"/>
        <v>0</v>
      </c>
      <c r="O29">
        <f t="shared" si="7"/>
        <v>0</v>
      </c>
      <c r="Q29">
        <v>32.090000000000003</v>
      </c>
      <c r="R29">
        <v>2.4489999999999998</v>
      </c>
      <c r="S29">
        <f t="shared" si="8"/>
        <v>0</v>
      </c>
      <c r="T29">
        <f>SQRT(O29*O29)*100</f>
        <v>0</v>
      </c>
    </row>
    <row r="30" spans="1:20" x14ac:dyDescent="0.3">
      <c r="A30">
        <v>9798744</v>
      </c>
      <c r="B30">
        <f t="shared" si="0"/>
        <v>9.1999999999999998E-2</v>
      </c>
      <c r="C30">
        <f t="shared" si="1"/>
        <v>2.5409999999999999</v>
      </c>
      <c r="D30">
        <v>-0.69</v>
      </c>
      <c r="E30">
        <v>0</v>
      </c>
      <c r="F30">
        <v>-0.76</v>
      </c>
      <c r="G30">
        <f t="shared" si="2"/>
        <v>9.9999999999998979E-3</v>
      </c>
      <c r="H30">
        <f t="shared" si="3"/>
        <v>0.01</v>
      </c>
      <c r="I30">
        <f t="shared" si="4"/>
        <v>0</v>
      </c>
      <c r="J30">
        <f>IF(ABS(D30-D29) &gt; $P$2, 1/2*(D30+D29)*9.81*B30 + J29, 0)</f>
        <v>0</v>
      </c>
      <c r="K30">
        <f>IF(ABS(E30-E29) &gt; $P$2, 1/2*(E30+E29)*9.81*B30 + K29, 0)</f>
        <v>0</v>
      </c>
      <c r="L30">
        <f>IF(ABS(F30-F29) &gt; $P$2, 1/2*(F30+F29)*9.81*B30 + L29, 0)</f>
        <v>0</v>
      </c>
      <c r="M30">
        <f t="shared" si="5"/>
        <v>0</v>
      </c>
      <c r="N30">
        <f t="shared" si="6"/>
        <v>0</v>
      </c>
      <c r="O30">
        <f t="shared" si="7"/>
        <v>0</v>
      </c>
      <c r="Q30">
        <v>31.88</v>
      </c>
      <c r="R30">
        <v>2.5409999999999999</v>
      </c>
      <c r="S30">
        <f t="shared" si="8"/>
        <v>-0.21000000000000441</v>
      </c>
      <c r="T30">
        <f>SQRT(O30*O30)*100</f>
        <v>0</v>
      </c>
    </row>
    <row r="31" spans="1:20" x14ac:dyDescent="0.3">
      <c r="A31">
        <v>9798834</v>
      </c>
      <c r="B31">
        <f t="shared" si="0"/>
        <v>0.09</v>
      </c>
      <c r="C31">
        <f t="shared" si="1"/>
        <v>2.6309999999999998</v>
      </c>
      <c r="D31">
        <v>-0.68</v>
      </c>
      <c r="E31">
        <v>0.01</v>
      </c>
      <c r="F31">
        <v>-0.75</v>
      </c>
      <c r="G31">
        <f t="shared" si="2"/>
        <v>9.9999999999998979E-3</v>
      </c>
      <c r="H31">
        <f t="shared" si="3"/>
        <v>0.01</v>
      </c>
      <c r="I31">
        <f t="shared" si="4"/>
        <v>1.0000000000000009E-2</v>
      </c>
      <c r="J31">
        <f>IF(ABS(D31-D30) &gt; $P$2, 1/2*(D31+D30)*9.81*B31 + J30, 0)</f>
        <v>0</v>
      </c>
      <c r="K31">
        <f>IF(ABS(E31-E30) &gt; $P$2, 1/2*(E31+E30)*9.81*B31 + K30, 0)</f>
        <v>0</v>
      </c>
      <c r="L31">
        <f>IF(ABS(F31-F30) &gt; $P$2, 1/2*(F31+F30)*9.81*B31 + L30, 0)</f>
        <v>0</v>
      </c>
      <c r="M31">
        <f t="shared" si="5"/>
        <v>0</v>
      </c>
      <c r="N31">
        <f t="shared" si="6"/>
        <v>0</v>
      </c>
      <c r="O31">
        <f t="shared" si="7"/>
        <v>0</v>
      </c>
      <c r="Q31">
        <v>32.090000000000003</v>
      </c>
      <c r="R31">
        <v>2.6309999999999998</v>
      </c>
      <c r="S31">
        <f t="shared" si="8"/>
        <v>0</v>
      </c>
      <c r="T31">
        <f>SQRT(O31*O31)*100</f>
        <v>0</v>
      </c>
    </row>
    <row r="32" spans="1:20" x14ac:dyDescent="0.3">
      <c r="A32">
        <v>9798925</v>
      </c>
      <c r="B32">
        <f t="shared" si="0"/>
        <v>9.0999999999999998E-2</v>
      </c>
      <c r="C32">
        <f t="shared" si="1"/>
        <v>2.722</v>
      </c>
      <c r="D32">
        <v>-0.68</v>
      </c>
      <c r="E32">
        <v>0.01</v>
      </c>
      <c r="F32">
        <v>-0.75</v>
      </c>
      <c r="G32">
        <f t="shared" si="2"/>
        <v>0</v>
      </c>
      <c r="H32">
        <f t="shared" si="3"/>
        <v>0</v>
      </c>
      <c r="I32">
        <f t="shared" si="4"/>
        <v>0</v>
      </c>
      <c r="J32">
        <f>IF(ABS(D32-D31) &gt; $P$2, 1/2*(D32+D31)*9.81*B32 + J31, 0)</f>
        <v>0</v>
      </c>
      <c r="K32">
        <f>IF(ABS(E32-E31) &gt; $P$2, 1/2*(E32+E31)*9.81*B32 + K31, 0)</f>
        <v>0</v>
      </c>
      <c r="L32">
        <f>IF(ABS(F32-F31) &gt; $P$2, 1/2*(F32+F31)*9.81*B32 + L31, 0)</f>
        <v>0</v>
      </c>
      <c r="M32">
        <f t="shared" si="5"/>
        <v>0</v>
      </c>
      <c r="N32">
        <f t="shared" si="6"/>
        <v>0</v>
      </c>
      <c r="O32">
        <f t="shared" si="7"/>
        <v>0</v>
      </c>
      <c r="Q32">
        <v>31.67</v>
      </c>
      <c r="R32">
        <v>2.722</v>
      </c>
      <c r="S32">
        <f t="shared" si="8"/>
        <v>-0.42000000000000171</v>
      </c>
      <c r="T32">
        <f>SQRT(O32*O32)*100</f>
        <v>0</v>
      </c>
    </row>
    <row r="33" spans="1:20" x14ac:dyDescent="0.3">
      <c r="A33">
        <v>9799016</v>
      </c>
      <c r="B33">
        <f t="shared" si="0"/>
        <v>9.0999999999999998E-2</v>
      </c>
      <c r="C33">
        <f t="shared" si="1"/>
        <v>2.8130000000000002</v>
      </c>
      <c r="D33">
        <v>-0.68</v>
      </c>
      <c r="E33">
        <v>0.02</v>
      </c>
      <c r="F33">
        <v>-0.76</v>
      </c>
      <c r="G33">
        <f t="shared" si="2"/>
        <v>0</v>
      </c>
      <c r="H33">
        <f t="shared" si="3"/>
        <v>0.01</v>
      </c>
      <c r="I33">
        <f t="shared" si="4"/>
        <v>1.0000000000000009E-2</v>
      </c>
      <c r="J33">
        <f>IF(ABS(D33-D32) &gt; $P$2, 1/2*(D33+D32)*9.81*B33 + J32, 0)</f>
        <v>0</v>
      </c>
      <c r="K33">
        <f>IF(ABS(E33-E32) &gt; $P$2, 1/2*(E33+E32)*9.81*B33 + K32, 0)</f>
        <v>0</v>
      </c>
      <c r="L33">
        <f>IF(ABS(F33-F32) &gt; $P$2, 1/2*(F33+F32)*9.81*B33 + L32, 0)</f>
        <v>0</v>
      </c>
      <c r="M33">
        <f t="shared" si="5"/>
        <v>0</v>
      </c>
      <c r="N33">
        <f t="shared" si="6"/>
        <v>0</v>
      </c>
      <c r="O33">
        <f t="shared" si="7"/>
        <v>0</v>
      </c>
      <c r="Q33">
        <v>32.090000000000003</v>
      </c>
      <c r="R33">
        <v>2.8130000000000002</v>
      </c>
      <c r="S33">
        <f t="shared" si="8"/>
        <v>0</v>
      </c>
      <c r="T33">
        <f>SQRT(O33*O33)*100</f>
        <v>0</v>
      </c>
    </row>
    <row r="34" spans="1:20" x14ac:dyDescent="0.3">
      <c r="A34">
        <v>9799106</v>
      </c>
      <c r="B34">
        <f t="shared" si="0"/>
        <v>0.09</v>
      </c>
      <c r="C34">
        <f t="shared" si="1"/>
        <v>2.903</v>
      </c>
      <c r="D34">
        <v>-0.68</v>
      </c>
      <c r="E34">
        <v>0.01</v>
      </c>
      <c r="F34">
        <v>-0.75</v>
      </c>
      <c r="G34">
        <f t="shared" si="2"/>
        <v>0</v>
      </c>
      <c r="H34">
        <f t="shared" si="3"/>
        <v>0.01</v>
      </c>
      <c r="I34">
        <f t="shared" si="4"/>
        <v>1.0000000000000009E-2</v>
      </c>
      <c r="J34">
        <f>IF(ABS(D34-D33) &gt; $P$2, 1/2*(D34+D33)*9.81*B34 + J33, 0)</f>
        <v>0</v>
      </c>
      <c r="K34">
        <f>IF(ABS(E34-E33) &gt; $P$2, 1/2*(E34+E33)*9.81*B34 + K33, 0)</f>
        <v>0</v>
      </c>
      <c r="L34">
        <f>IF(ABS(F34-F33) &gt; $P$2, 1/2*(F34+F33)*9.81*B34 + L33, 0)</f>
        <v>0</v>
      </c>
      <c r="M34">
        <f t="shared" si="5"/>
        <v>0</v>
      </c>
      <c r="N34">
        <f t="shared" si="6"/>
        <v>0</v>
      </c>
      <c r="O34">
        <f t="shared" si="7"/>
        <v>0</v>
      </c>
      <c r="Q34">
        <v>31.67</v>
      </c>
      <c r="R34">
        <v>2.903</v>
      </c>
      <c r="S34">
        <f t="shared" si="8"/>
        <v>-0.42000000000000171</v>
      </c>
      <c r="T34">
        <f>SQRT(O34*O34)*100</f>
        <v>0</v>
      </c>
    </row>
    <row r="35" spans="1:20" x14ac:dyDescent="0.3">
      <c r="A35">
        <v>9799197</v>
      </c>
      <c r="B35">
        <f t="shared" si="0"/>
        <v>9.0999999999999998E-2</v>
      </c>
      <c r="C35">
        <f t="shared" si="1"/>
        <v>2.9940000000000002</v>
      </c>
      <c r="D35">
        <v>-0.69</v>
      </c>
      <c r="E35">
        <v>0.01</v>
      </c>
      <c r="F35">
        <v>-0.75</v>
      </c>
      <c r="G35">
        <f t="shared" si="2"/>
        <v>9.9999999999998979E-3</v>
      </c>
      <c r="H35">
        <f t="shared" si="3"/>
        <v>0</v>
      </c>
      <c r="I35">
        <f t="shared" si="4"/>
        <v>0</v>
      </c>
      <c r="J35">
        <f>IF(ABS(D35-D34) &gt; $P$2, 1/2*(D35+D34)*9.81*B35 + J34, 0)</f>
        <v>0</v>
      </c>
      <c r="K35">
        <f>IF(ABS(E35-E34) &gt; $P$2, 1/2*(E35+E34)*9.81*B35 + K34, 0)</f>
        <v>0</v>
      </c>
      <c r="L35">
        <f>IF(ABS(F35-F34) &gt; $P$2, 1/2*(F35+F34)*9.81*B35 + L34, 0)</f>
        <v>0</v>
      </c>
      <c r="M35">
        <f t="shared" si="5"/>
        <v>0</v>
      </c>
      <c r="N35">
        <f t="shared" si="6"/>
        <v>0</v>
      </c>
      <c r="O35">
        <f t="shared" si="7"/>
        <v>0</v>
      </c>
      <c r="Q35">
        <v>31.67</v>
      </c>
      <c r="R35">
        <v>2.9940000000000002</v>
      </c>
      <c r="S35">
        <f t="shared" si="8"/>
        <v>-0.42000000000000171</v>
      </c>
      <c r="T35">
        <f>SQRT(O35*O35)*100</f>
        <v>0</v>
      </c>
    </row>
    <row r="36" spans="1:20" x14ac:dyDescent="0.3">
      <c r="A36">
        <v>9799287</v>
      </c>
      <c r="B36">
        <f t="shared" si="0"/>
        <v>0.09</v>
      </c>
      <c r="C36">
        <f t="shared" si="1"/>
        <v>3.0840000000000001</v>
      </c>
      <c r="D36">
        <v>-0.68</v>
      </c>
      <c r="E36">
        <v>0.01</v>
      </c>
      <c r="F36">
        <v>-0.76</v>
      </c>
      <c r="G36">
        <f t="shared" si="2"/>
        <v>9.9999999999998979E-3</v>
      </c>
      <c r="H36">
        <f t="shared" si="3"/>
        <v>0</v>
      </c>
      <c r="I36">
        <f t="shared" si="4"/>
        <v>1.0000000000000009E-2</v>
      </c>
      <c r="J36">
        <f>IF(ABS(D36-D35) &gt; $P$2, 1/2*(D36+D35)*9.81*B36 + J35, 0)</f>
        <v>0</v>
      </c>
      <c r="K36">
        <f>IF(ABS(E36-E35) &gt; $P$2, 1/2*(E36+E35)*9.81*B36 + K35, 0)</f>
        <v>0</v>
      </c>
      <c r="L36">
        <f>IF(ABS(F36-F35) &gt; $P$2, 1/2*(F36+F35)*9.81*B36 + L35, 0)</f>
        <v>0</v>
      </c>
      <c r="M36">
        <f t="shared" si="5"/>
        <v>0</v>
      </c>
      <c r="N36">
        <f t="shared" si="6"/>
        <v>0</v>
      </c>
      <c r="O36">
        <f t="shared" si="7"/>
        <v>0</v>
      </c>
      <c r="Q36">
        <v>31.88</v>
      </c>
      <c r="R36">
        <v>3.0840000000000001</v>
      </c>
      <c r="S36">
        <f t="shared" si="8"/>
        <v>-0.21000000000000441</v>
      </c>
      <c r="T36">
        <f>SQRT(O36*O36)*100</f>
        <v>0</v>
      </c>
    </row>
    <row r="37" spans="1:20" x14ac:dyDescent="0.3">
      <c r="A37">
        <v>9799378</v>
      </c>
      <c r="B37">
        <f t="shared" si="0"/>
        <v>9.0999999999999998E-2</v>
      </c>
      <c r="C37">
        <f t="shared" si="1"/>
        <v>3.1749999999999998</v>
      </c>
      <c r="D37">
        <v>-0.68</v>
      </c>
      <c r="E37">
        <v>0.01</v>
      </c>
      <c r="F37">
        <v>-0.75</v>
      </c>
      <c r="G37">
        <f t="shared" si="2"/>
        <v>0</v>
      </c>
      <c r="H37">
        <f t="shared" si="3"/>
        <v>0</v>
      </c>
      <c r="I37">
        <f t="shared" si="4"/>
        <v>1.0000000000000009E-2</v>
      </c>
      <c r="J37">
        <f>IF(ABS(D37-D36) &gt; $P$2, 1/2*(D37+D36)*9.81*B37 + J36, 0)</f>
        <v>0</v>
      </c>
      <c r="K37">
        <f>IF(ABS(E37-E36) &gt; $P$2, 1/2*(E37+E36)*9.81*B37 + K36, 0)</f>
        <v>0</v>
      </c>
      <c r="L37">
        <f>IF(ABS(F37-F36) &gt; $P$2, 1/2*(F37+F36)*9.81*B37 + L36, 0)</f>
        <v>0</v>
      </c>
      <c r="M37">
        <f t="shared" si="5"/>
        <v>0</v>
      </c>
      <c r="N37">
        <f t="shared" si="6"/>
        <v>0</v>
      </c>
      <c r="O37">
        <f t="shared" si="7"/>
        <v>0</v>
      </c>
      <c r="Q37">
        <v>32.299999999999997</v>
      </c>
      <c r="R37">
        <v>3.1749999999999998</v>
      </c>
      <c r="S37">
        <f t="shared" si="8"/>
        <v>0.20999999999999375</v>
      </c>
      <c r="T37">
        <f>SQRT(O37*O37)*100</f>
        <v>0</v>
      </c>
    </row>
    <row r="38" spans="1:20" x14ac:dyDescent="0.3">
      <c r="A38">
        <v>9799470</v>
      </c>
      <c r="B38">
        <f t="shared" si="0"/>
        <v>9.1999999999999998E-2</v>
      </c>
      <c r="C38">
        <f t="shared" si="1"/>
        <v>3.2669999999999999</v>
      </c>
      <c r="D38">
        <v>-0.68</v>
      </c>
      <c r="E38">
        <v>0.01</v>
      </c>
      <c r="F38" s="1">
        <v>-0.77</v>
      </c>
      <c r="G38">
        <f t="shared" si="2"/>
        <v>0</v>
      </c>
      <c r="H38">
        <f t="shared" si="3"/>
        <v>0</v>
      </c>
      <c r="I38">
        <f t="shared" si="4"/>
        <v>2.0000000000000018E-2</v>
      </c>
      <c r="J38">
        <f>IF(ABS(D38-D37) &gt; $P$2, 1/2*(D38+D37)*9.81*B38 + J37, 0)</f>
        <v>0</v>
      </c>
      <c r="K38">
        <f>IF(ABS(E38-E37) &gt; $P$2, 1/2*(E38+E37)*9.81*B38 + K37, 0)</f>
        <v>0</v>
      </c>
      <c r="L38">
        <f>IF(ABS(F38-F37) &gt; $P$2, 1/2*(F38+F37)*9.81*B38 + L37, 0)</f>
        <v>0</v>
      </c>
      <c r="M38">
        <f t="shared" si="5"/>
        <v>0</v>
      </c>
      <c r="N38">
        <f t="shared" si="6"/>
        <v>0</v>
      </c>
      <c r="O38">
        <f t="shared" si="7"/>
        <v>0</v>
      </c>
      <c r="Q38">
        <v>32.090000000000003</v>
      </c>
      <c r="R38">
        <v>3.2669999999999999</v>
      </c>
      <c r="S38">
        <f t="shared" si="8"/>
        <v>0</v>
      </c>
      <c r="T38">
        <f>SQRT(O38*O38)*100</f>
        <v>0</v>
      </c>
    </row>
    <row r="39" spans="1:20" x14ac:dyDescent="0.3">
      <c r="A39">
        <v>9799560</v>
      </c>
      <c r="B39">
        <f t="shared" si="0"/>
        <v>0.09</v>
      </c>
      <c r="C39">
        <f t="shared" si="1"/>
        <v>3.3570000000000002</v>
      </c>
      <c r="D39">
        <v>-0.67</v>
      </c>
      <c r="E39">
        <v>0.01</v>
      </c>
      <c r="F39">
        <v>-0.76</v>
      </c>
      <c r="G39">
        <f t="shared" si="2"/>
        <v>1.0000000000000009E-2</v>
      </c>
      <c r="H39">
        <f t="shared" si="3"/>
        <v>0</v>
      </c>
      <c r="I39">
        <f t="shared" si="4"/>
        <v>1.0000000000000009E-2</v>
      </c>
      <c r="J39">
        <f>IF(ABS(D39-D38) &gt; $P$2, 1/2*(D39+D38)*9.81*B39 + J38, 0)</f>
        <v>0</v>
      </c>
      <c r="K39">
        <f>IF(ABS(E39-E38) &gt; $P$2, 1/2*(E39+E38)*9.81*B39 + K38, 0)</f>
        <v>0</v>
      </c>
      <c r="L39">
        <f>IF(ABS(F39-F38) &gt; $P$2, 1/2*(F39+F38)*9.81*B39 + L38, 0)</f>
        <v>0</v>
      </c>
      <c r="M39">
        <f t="shared" si="5"/>
        <v>0</v>
      </c>
      <c r="N39">
        <f t="shared" si="6"/>
        <v>0</v>
      </c>
      <c r="O39">
        <f t="shared" si="7"/>
        <v>0</v>
      </c>
      <c r="Q39">
        <v>31.67</v>
      </c>
      <c r="R39">
        <v>3.3570000000000002</v>
      </c>
      <c r="S39">
        <f t="shared" si="8"/>
        <v>-0.42000000000000171</v>
      </c>
      <c r="T39">
        <f>SQRT(O39*O39)*100</f>
        <v>0</v>
      </c>
    </row>
    <row r="40" spans="1:20" x14ac:dyDescent="0.3">
      <c r="A40">
        <v>9799651</v>
      </c>
      <c r="B40">
        <f t="shared" si="0"/>
        <v>9.0999999999999998E-2</v>
      </c>
      <c r="C40">
        <f t="shared" si="1"/>
        <v>3.448</v>
      </c>
      <c r="D40">
        <v>-0.68</v>
      </c>
      <c r="E40">
        <v>0.01</v>
      </c>
      <c r="F40">
        <v>-0.75</v>
      </c>
      <c r="G40">
        <f t="shared" si="2"/>
        <v>1.0000000000000009E-2</v>
      </c>
      <c r="H40">
        <f t="shared" si="3"/>
        <v>0</v>
      </c>
      <c r="I40">
        <f t="shared" si="4"/>
        <v>1.0000000000000009E-2</v>
      </c>
      <c r="J40">
        <f>IF(ABS(D40-D39) &gt; $P$2, 1/2*(D40+D39)*9.81*B40 + J39, 0)</f>
        <v>0</v>
      </c>
      <c r="K40">
        <f>IF(ABS(E40-E39) &gt; $P$2, 1/2*(E40+E39)*9.81*B40 + K39, 0)</f>
        <v>0</v>
      </c>
      <c r="L40">
        <f>IF(ABS(F40-F39) &gt; $P$2, 1/2*(F40+F39)*9.81*B40 + L39, 0)</f>
        <v>0</v>
      </c>
      <c r="M40">
        <f t="shared" si="5"/>
        <v>0</v>
      </c>
      <c r="N40">
        <f t="shared" si="6"/>
        <v>0</v>
      </c>
      <c r="O40">
        <f t="shared" si="7"/>
        <v>0</v>
      </c>
      <c r="Q40">
        <v>31.67</v>
      </c>
      <c r="R40">
        <v>3.448</v>
      </c>
      <c r="S40">
        <f t="shared" si="8"/>
        <v>-0.42000000000000171</v>
      </c>
      <c r="T40">
        <f>SQRT(O40*O40)*100</f>
        <v>0</v>
      </c>
    </row>
    <row r="41" spans="1:20" x14ac:dyDescent="0.3">
      <c r="A41">
        <v>9799742</v>
      </c>
      <c r="B41">
        <f t="shared" si="0"/>
        <v>9.0999999999999998E-2</v>
      </c>
      <c r="C41">
        <f t="shared" si="1"/>
        <v>3.5390000000000001</v>
      </c>
      <c r="D41">
        <v>-0.68</v>
      </c>
      <c r="E41">
        <v>0.01</v>
      </c>
      <c r="F41">
        <v>-0.76</v>
      </c>
      <c r="G41">
        <f t="shared" si="2"/>
        <v>0</v>
      </c>
      <c r="H41">
        <f t="shared" si="3"/>
        <v>0</v>
      </c>
      <c r="I41">
        <f t="shared" si="4"/>
        <v>1.0000000000000009E-2</v>
      </c>
      <c r="J41">
        <f>IF(ABS(D41-D40) &gt; $P$2, 1/2*(D41+D40)*9.81*B41 + J40, 0)</f>
        <v>0</v>
      </c>
      <c r="K41">
        <f>IF(ABS(E41-E40) &gt; $P$2, 1/2*(E41+E40)*9.81*B41 + K40, 0)</f>
        <v>0</v>
      </c>
      <c r="L41">
        <f>IF(ABS(F41-F40) &gt; $P$2, 1/2*(F41+F40)*9.81*B41 + L40, 0)</f>
        <v>0</v>
      </c>
      <c r="M41">
        <f t="shared" si="5"/>
        <v>0</v>
      </c>
      <c r="N41">
        <f t="shared" si="6"/>
        <v>0</v>
      </c>
      <c r="O41">
        <f t="shared" si="7"/>
        <v>0</v>
      </c>
      <c r="Q41">
        <v>31.67</v>
      </c>
      <c r="R41">
        <v>3.5390000000000001</v>
      </c>
      <c r="S41">
        <f t="shared" si="8"/>
        <v>-0.42000000000000171</v>
      </c>
      <c r="T41">
        <f>SQRT(O41*O41)*100</f>
        <v>0</v>
      </c>
    </row>
    <row r="42" spans="1:20" x14ac:dyDescent="0.3">
      <c r="A42">
        <v>9799832</v>
      </c>
      <c r="B42">
        <f t="shared" si="0"/>
        <v>0.09</v>
      </c>
      <c r="C42">
        <f t="shared" si="1"/>
        <v>3.629</v>
      </c>
      <c r="D42">
        <v>-0.68</v>
      </c>
      <c r="E42">
        <v>0.01</v>
      </c>
      <c r="F42">
        <v>-0.77</v>
      </c>
      <c r="G42">
        <f t="shared" si="2"/>
        <v>0</v>
      </c>
      <c r="H42">
        <f t="shared" si="3"/>
        <v>0</v>
      </c>
      <c r="I42">
        <f t="shared" si="4"/>
        <v>1.0000000000000009E-2</v>
      </c>
      <c r="J42">
        <f>IF(ABS(D42-D41) &gt; $P$2, 1/2*(D42+D41)*9.81*B42 + J41, 0)</f>
        <v>0</v>
      </c>
      <c r="K42">
        <f>IF(ABS(E42-E41) &gt; $P$2, 1/2*(E42+E41)*9.81*B42 + K41, 0)</f>
        <v>0</v>
      </c>
      <c r="L42">
        <f>IF(ABS(F42-F41) &gt; $P$2, 1/2*(F42+F41)*9.81*B42 + L41, 0)</f>
        <v>0</v>
      </c>
      <c r="M42">
        <f t="shared" si="5"/>
        <v>0</v>
      </c>
      <c r="N42">
        <f t="shared" si="6"/>
        <v>0</v>
      </c>
      <c r="O42">
        <f t="shared" si="7"/>
        <v>0</v>
      </c>
      <c r="Q42">
        <v>32.299999999999997</v>
      </c>
      <c r="R42">
        <v>3.629</v>
      </c>
      <c r="S42">
        <f t="shared" si="8"/>
        <v>0.20999999999999375</v>
      </c>
      <c r="T42">
        <f>SQRT(O42*O42)*100</f>
        <v>0</v>
      </c>
    </row>
    <row r="43" spans="1:20" x14ac:dyDescent="0.3">
      <c r="A43">
        <v>9799923</v>
      </c>
      <c r="B43">
        <f t="shared" si="0"/>
        <v>9.0999999999999998E-2</v>
      </c>
      <c r="C43">
        <f t="shared" si="1"/>
        <v>3.72</v>
      </c>
      <c r="D43">
        <v>-0.68</v>
      </c>
      <c r="E43">
        <v>0.01</v>
      </c>
      <c r="F43">
        <v>-0.76</v>
      </c>
      <c r="G43">
        <f t="shared" si="2"/>
        <v>0</v>
      </c>
      <c r="H43">
        <f t="shared" si="3"/>
        <v>0</v>
      </c>
      <c r="I43">
        <f t="shared" si="4"/>
        <v>1.0000000000000009E-2</v>
      </c>
      <c r="J43">
        <f>IF(ABS(D43-D42) &gt; $P$2, 1/2*(D43+D42)*9.81*B43 + J42, 0)</f>
        <v>0</v>
      </c>
      <c r="K43">
        <f>IF(ABS(E43-E42) &gt; $P$2, 1/2*(E43+E42)*9.81*B43 + K42, 0)</f>
        <v>0</v>
      </c>
      <c r="L43">
        <f>IF(ABS(F43-F42) &gt; $P$2, 1/2*(F43+F42)*9.81*B43 + L42, 0)</f>
        <v>0</v>
      </c>
      <c r="M43">
        <f t="shared" si="5"/>
        <v>0</v>
      </c>
      <c r="N43">
        <f t="shared" si="6"/>
        <v>0</v>
      </c>
      <c r="O43">
        <f t="shared" si="7"/>
        <v>0</v>
      </c>
      <c r="Q43">
        <v>32.090000000000003</v>
      </c>
      <c r="R43">
        <v>3.72</v>
      </c>
      <c r="S43">
        <f t="shared" si="8"/>
        <v>0</v>
      </c>
      <c r="T43">
        <f>SQRT(O43*O43)*100</f>
        <v>0</v>
      </c>
    </row>
    <row r="44" spans="1:20" x14ac:dyDescent="0.3">
      <c r="A44">
        <v>9800013</v>
      </c>
      <c r="B44">
        <f t="shared" si="0"/>
        <v>0.09</v>
      </c>
      <c r="C44">
        <f t="shared" si="1"/>
        <v>3.81</v>
      </c>
      <c r="D44">
        <v>-0.69</v>
      </c>
      <c r="E44">
        <v>0.01</v>
      </c>
      <c r="F44">
        <v>-0.75</v>
      </c>
      <c r="G44">
        <f t="shared" si="2"/>
        <v>9.9999999999998979E-3</v>
      </c>
      <c r="H44">
        <f t="shared" si="3"/>
        <v>0</v>
      </c>
      <c r="I44">
        <f t="shared" si="4"/>
        <v>1.0000000000000009E-2</v>
      </c>
      <c r="J44">
        <f>IF(ABS(D44-D43) &gt; $P$2, 1/2*(D44+D43)*9.81*B44 + J43, 0)</f>
        <v>0</v>
      </c>
      <c r="K44">
        <f>IF(ABS(E44-E43) &gt; $P$2, 1/2*(E44+E43)*9.81*B44 + K43, 0)</f>
        <v>0</v>
      </c>
      <c r="L44">
        <f>IF(ABS(F44-F43) &gt; $P$2, 1/2*(F44+F43)*9.81*B44 + L43, 0)</f>
        <v>0</v>
      </c>
      <c r="M44">
        <f t="shared" si="5"/>
        <v>0</v>
      </c>
      <c r="N44">
        <f t="shared" si="6"/>
        <v>0</v>
      </c>
      <c r="O44">
        <f t="shared" si="7"/>
        <v>0</v>
      </c>
      <c r="Q44">
        <v>32.090000000000003</v>
      </c>
      <c r="R44">
        <v>3.81</v>
      </c>
      <c r="S44">
        <f t="shared" si="8"/>
        <v>0</v>
      </c>
      <c r="T44">
        <f>SQRT(O44*O44)*100</f>
        <v>0</v>
      </c>
    </row>
    <row r="45" spans="1:20" x14ac:dyDescent="0.3">
      <c r="A45">
        <v>9800104</v>
      </c>
      <c r="B45">
        <f t="shared" si="0"/>
        <v>9.0999999999999998E-2</v>
      </c>
      <c r="C45">
        <f t="shared" si="1"/>
        <v>3.9009999999999998</v>
      </c>
      <c r="D45">
        <v>-0.68</v>
      </c>
      <c r="E45">
        <v>0.01</v>
      </c>
      <c r="F45">
        <v>-0.76</v>
      </c>
      <c r="G45">
        <f t="shared" si="2"/>
        <v>9.9999999999998979E-3</v>
      </c>
      <c r="H45">
        <f t="shared" si="3"/>
        <v>0</v>
      </c>
      <c r="I45">
        <f t="shared" si="4"/>
        <v>1.0000000000000009E-2</v>
      </c>
      <c r="J45">
        <f>IF(ABS(D45-D44) &gt; $P$2, 1/2*(D45+D44)*9.81*B45 + J44, 0)</f>
        <v>0</v>
      </c>
      <c r="K45">
        <f>IF(ABS(E45-E44) &gt; $P$2, 1/2*(E45+E44)*9.81*B45 + K44, 0)</f>
        <v>0</v>
      </c>
      <c r="L45">
        <f>IF(ABS(F45-F44) &gt; $P$2, 1/2*(F45+F44)*9.81*B45 + L44, 0)</f>
        <v>0</v>
      </c>
      <c r="M45">
        <f t="shared" si="5"/>
        <v>0</v>
      </c>
      <c r="N45">
        <f t="shared" si="6"/>
        <v>0</v>
      </c>
      <c r="O45">
        <f t="shared" si="7"/>
        <v>0</v>
      </c>
      <c r="Q45">
        <v>32.299999999999997</v>
      </c>
      <c r="R45">
        <v>3.9009999999999998</v>
      </c>
      <c r="S45">
        <f t="shared" si="8"/>
        <v>0.20999999999999375</v>
      </c>
      <c r="T45">
        <f>SQRT(O45*O45)*100</f>
        <v>0</v>
      </c>
    </row>
    <row r="46" spans="1:20" x14ac:dyDescent="0.3">
      <c r="A46">
        <v>9800196</v>
      </c>
      <c r="B46">
        <f t="shared" si="0"/>
        <v>9.1999999999999998E-2</v>
      </c>
      <c r="C46">
        <f t="shared" si="1"/>
        <v>3.9929999999999999</v>
      </c>
      <c r="D46">
        <v>-0.69</v>
      </c>
      <c r="E46">
        <v>0.01</v>
      </c>
      <c r="F46">
        <v>-0.76</v>
      </c>
      <c r="G46">
        <f t="shared" si="2"/>
        <v>9.9999999999998979E-3</v>
      </c>
      <c r="H46">
        <f t="shared" si="3"/>
        <v>0</v>
      </c>
      <c r="I46">
        <f t="shared" si="4"/>
        <v>0</v>
      </c>
      <c r="J46">
        <f>IF(ABS(D46-D45) &gt; $P$2, 1/2*(D46+D45)*9.81*B46 + J45, 0)</f>
        <v>0</v>
      </c>
      <c r="K46">
        <f>IF(ABS(E46-E45) &gt; $P$2, 1/2*(E46+E45)*9.81*B46 + K45, 0)</f>
        <v>0</v>
      </c>
      <c r="L46">
        <f>IF(ABS(F46-F45) &gt; $P$2, 1/2*(F46+F45)*9.81*B46 + L45, 0)</f>
        <v>0</v>
      </c>
      <c r="M46">
        <f t="shared" si="5"/>
        <v>0</v>
      </c>
      <c r="N46">
        <f t="shared" si="6"/>
        <v>0</v>
      </c>
      <c r="O46">
        <f t="shared" si="7"/>
        <v>0</v>
      </c>
      <c r="Q46">
        <v>32.299999999999997</v>
      </c>
      <c r="R46">
        <v>3.9929999999999999</v>
      </c>
      <c r="S46">
        <f t="shared" si="8"/>
        <v>0.20999999999999375</v>
      </c>
      <c r="T46">
        <f>SQRT(O46*O46)*100</f>
        <v>0</v>
      </c>
    </row>
    <row r="47" spans="1:20" x14ac:dyDescent="0.3">
      <c r="A47">
        <v>9800286</v>
      </c>
      <c r="B47">
        <f t="shared" si="0"/>
        <v>0.09</v>
      </c>
      <c r="C47">
        <f t="shared" si="1"/>
        <v>4.0830000000000002</v>
      </c>
      <c r="D47">
        <v>-0.68</v>
      </c>
      <c r="E47">
        <v>0.01</v>
      </c>
      <c r="F47">
        <v>-0.76</v>
      </c>
      <c r="G47">
        <f t="shared" si="2"/>
        <v>9.9999999999998979E-3</v>
      </c>
      <c r="H47">
        <f t="shared" si="3"/>
        <v>0</v>
      </c>
      <c r="I47">
        <f t="shared" si="4"/>
        <v>0</v>
      </c>
      <c r="J47">
        <f>IF(ABS(D47-D46) &gt; $P$2, 1/2*(D47+D46)*9.81*B47 + J46, 0)</f>
        <v>0</v>
      </c>
      <c r="K47">
        <f>IF(ABS(E47-E46) &gt; $P$2, 1/2*(E47+E46)*9.81*B47 + K46, 0)</f>
        <v>0</v>
      </c>
      <c r="L47">
        <f>IF(ABS(F47-F46) &gt; $P$2, 1/2*(F47+F46)*9.81*B47 + L46, 0)</f>
        <v>0</v>
      </c>
      <c r="M47">
        <f t="shared" si="5"/>
        <v>0</v>
      </c>
      <c r="N47">
        <f t="shared" si="6"/>
        <v>0</v>
      </c>
      <c r="O47">
        <f t="shared" si="7"/>
        <v>0</v>
      </c>
      <c r="Q47">
        <v>32.090000000000003</v>
      </c>
      <c r="R47">
        <v>4.0830000000000002</v>
      </c>
      <c r="S47">
        <f t="shared" si="8"/>
        <v>0</v>
      </c>
      <c r="T47">
        <f>SQRT(O47*O47)*100</f>
        <v>0</v>
      </c>
    </row>
    <row r="48" spans="1:20" x14ac:dyDescent="0.3">
      <c r="A48">
        <v>9800377</v>
      </c>
      <c r="B48">
        <f t="shared" si="0"/>
        <v>9.0999999999999998E-2</v>
      </c>
      <c r="C48">
        <f t="shared" si="1"/>
        <v>4.1740000000000004</v>
      </c>
      <c r="D48">
        <v>-0.68</v>
      </c>
      <c r="E48">
        <v>0</v>
      </c>
      <c r="F48">
        <v>-0.75</v>
      </c>
      <c r="G48">
        <f t="shared" si="2"/>
        <v>0</v>
      </c>
      <c r="H48">
        <f t="shared" si="3"/>
        <v>0.01</v>
      </c>
      <c r="I48">
        <f t="shared" si="4"/>
        <v>1.0000000000000009E-2</v>
      </c>
      <c r="J48">
        <f>IF(ABS(D48-D47) &gt; $P$2, 1/2*(D48+D47)*9.81*B48 + J47, 0)</f>
        <v>0</v>
      </c>
      <c r="K48">
        <f>IF(ABS(E48-E47) &gt; $P$2, 1/2*(E48+E47)*9.81*B48 + K47, 0)</f>
        <v>0</v>
      </c>
      <c r="L48">
        <f>IF(ABS(F48-F47) &gt; $P$2, 1/2*(F48+F47)*9.81*B48 + L47, 0)</f>
        <v>0</v>
      </c>
      <c r="M48">
        <f t="shared" si="5"/>
        <v>0</v>
      </c>
      <c r="N48">
        <f t="shared" si="6"/>
        <v>0</v>
      </c>
      <c r="O48">
        <f t="shared" si="7"/>
        <v>0</v>
      </c>
      <c r="Q48">
        <v>31.88</v>
      </c>
      <c r="R48">
        <v>4.1740000000000004</v>
      </c>
      <c r="S48">
        <f t="shared" si="8"/>
        <v>-0.21000000000000441</v>
      </c>
      <c r="T48">
        <f>SQRT(O48*O48)*100</f>
        <v>0</v>
      </c>
    </row>
    <row r="49" spans="1:20" x14ac:dyDescent="0.3">
      <c r="A49">
        <v>9800467</v>
      </c>
      <c r="B49">
        <f t="shared" si="0"/>
        <v>0.09</v>
      </c>
      <c r="C49">
        <f t="shared" si="1"/>
        <v>4.2640000000000002</v>
      </c>
      <c r="D49">
        <v>-0.68</v>
      </c>
      <c r="E49">
        <v>0.01</v>
      </c>
      <c r="F49">
        <v>-0.76</v>
      </c>
      <c r="G49">
        <f t="shared" si="2"/>
        <v>0</v>
      </c>
      <c r="H49">
        <f t="shared" si="3"/>
        <v>0.01</v>
      </c>
      <c r="I49">
        <f t="shared" si="4"/>
        <v>1.0000000000000009E-2</v>
      </c>
      <c r="J49">
        <f>IF(ABS(D49-D48) &gt; $P$2, 1/2*(D49+D48)*9.81*B49 + J48, 0)</f>
        <v>0</v>
      </c>
      <c r="K49">
        <f>IF(ABS(E49-E48) &gt; $P$2, 1/2*(E49+E48)*9.81*B49 + K48, 0)</f>
        <v>0</v>
      </c>
      <c r="L49">
        <f>IF(ABS(F49-F48) &gt; $P$2, 1/2*(F49+F48)*9.81*B49 + L48, 0)</f>
        <v>0</v>
      </c>
      <c r="M49">
        <f t="shared" si="5"/>
        <v>0</v>
      </c>
      <c r="N49">
        <f t="shared" si="6"/>
        <v>0</v>
      </c>
      <c r="O49">
        <f t="shared" si="7"/>
        <v>0</v>
      </c>
      <c r="Q49">
        <v>32.090000000000003</v>
      </c>
      <c r="R49">
        <v>4.2640000000000002</v>
      </c>
      <c r="S49">
        <f t="shared" si="8"/>
        <v>0</v>
      </c>
      <c r="T49">
        <f>SQRT(O49*O49)*100</f>
        <v>0</v>
      </c>
    </row>
    <row r="50" spans="1:20" x14ac:dyDescent="0.3">
      <c r="A50">
        <v>9800558</v>
      </c>
      <c r="B50">
        <f t="shared" si="0"/>
        <v>9.0999999999999998E-2</v>
      </c>
      <c r="C50">
        <f t="shared" si="1"/>
        <v>4.3550000000000004</v>
      </c>
      <c r="D50">
        <v>-0.69</v>
      </c>
      <c r="E50">
        <v>0.01</v>
      </c>
      <c r="F50">
        <v>-0.76</v>
      </c>
      <c r="G50">
        <f t="shared" si="2"/>
        <v>9.9999999999998979E-3</v>
      </c>
      <c r="H50">
        <f t="shared" si="3"/>
        <v>0</v>
      </c>
      <c r="I50">
        <f t="shared" si="4"/>
        <v>0</v>
      </c>
      <c r="J50">
        <f>IF(ABS(D50-D49) &gt; $P$2, 1/2*(D50+D49)*9.81*B50 + J49, 0)</f>
        <v>0</v>
      </c>
      <c r="K50">
        <f>IF(ABS(E50-E49) &gt; $P$2, 1/2*(E50+E49)*9.81*B50 + K49, 0)</f>
        <v>0</v>
      </c>
      <c r="L50">
        <f>IF(ABS(F50-F49) &gt; $P$2, 1/2*(F50+F49)*9.81*B50 + L49, 0)</f>
        <v>0</v>
      </c>
      <c r="M50">
        <f t="shared" si="5"/>
        <v>0</v>
      </c>
      <c r="N50">
        <f t="shared" si="6"/>
        <v>0</v>
      </c>
      <c r="O50">
        <f t="shared" si="7"/>
        <v>0</v>
      </c>
      <c r="Q50">
        <v>31.25</v>
      </c>
      <c r="R50">
        <v>4.3550000000000004</v>
      </c>
      <c r="S50">
        <f t="shared" si="8"/>
        <v>-0.84000000000000341</v>
      </c>
      <c r="T50">
        <f>SQRT(O50*O50)*100</f>
        <v>0</v>
      </c>
    </row>
    <row r="51" spans="1:20" x14ac:dyDescent="0.3">
      <c r="A51">
        <v>9800649</v>
      </c>
      <c r="B51">
        <f t="shared" si="0"/>
        <v>9.0999999999999998E-2</v>
      </c>
      <c r="C51">
        <f t="shared" si="1"/>
        <v>4.4459999999999997</v>
      </c>
      <c r="D51">
        <v>-0.68</v>
      </c>
      <c r="E51">
        <v>0.01</v>
      </c>
      <c r="F51">
        <v>-0.76</v>
      </c>
      <c r="G51">
        <f t="shared" si="2"/>
        <v>9.9999999999998979E-3</v>
      </c>
      <c r="H51">
        <f t="shared" si="3"/>
        <v>0</v>
      </c>
      <c r="I51">
        <f t="shared" si="4"/>
        <v>0</v>
      </c>
      <c r="J51">
        <f>IF(ABS(D51-D50) &gt; $P$2, 1/2*(D51+D50)*9.81*B51 + J50, 0)</f>
        <v>0</v>
      </c>
      <c r="K51">
        <f>IF(ABS(E51-E50) &gt; $P$2, 1/2*(E51+E50)*9.81*B51 + K50, 0)</f>
        <v>0</v>
      </c>
      <c r="L51">
        <f>IF(ABS(F51-F50) &gt; $P$2, 1/2*(F51+F50)*9.81*B51 + L50, 0)</f>
        <v>0</v>
      </c>
      <c r="M51">
        <f t="shared" si="5"/>
        <v>0</v>
      </c>
      <c r="N51">
        <f t="shared" si="6"/>
        <v>0</v>
      </c>
      <c r="O51">
        <f t="shared" si="7"/>
        <v>0</v>
      </c>
      <c r="Q51">
        <v>31.88</v>
      </c>
      <c r="R51">
        <v>4.4459999999999997</v>
      </c>
      <c r="S51">
        <f t="shared" si="8"/>
        <v>-0.21000000000000441</v>
      </c>
      <c r="T51">
        <f>SQRT(O51*O51)*100</f>
        <v>0</v>
      </c>
    </row>
    <row r="52" spans="1:20" x14ac:dyDescent="0.3">
      <c r="A52">
        <v>9800739</v>
      </c>
      <c r="B52">
        <f t="shared" si="0"/>
        <v>0.09</v>
      </c>
      <c r="C52">
        <f t="shared" si="1"/>
        <v>4.5359999999999996</v>
      </c>
      <c r="D52">
        <v>-0.68</v>
      </c>
      <c r="E52">
        <v>0.01</v>
      </c>
      <c r="F52">
        <v>-0.76</v>
      </c>
      <c r="G52">
        <f t="shared" si="2"/>
        <v>0</v>
      </c>
      <c r="H52">
        <f t="shared" si="3"/>
        <v>0</v>
      </c>
      <c r="I52">
        <f t="shared" si="4"/>
        <v>0</v>
      </c>
      <c r="J52">
        <f>IF(ABS(D52-D51) &gt; $P$2, 1/2*(D52+D51)*9.81*B52 + J51, 0)</f>
        <v>0</v>
      </c>
      <c r="K52">
        <f>IF(ABS(E52-E51) &gt; $P$2, 1/2*(E52+E51)*9.81*B52 + K51, 0)</f>
        <v>0</v>
      </c>
      <c r="L52">
        <f>IF(ABS(F52-F51) &gt; $P$2, 1/2*(F52+F51)*9.81*B52 + L51, 0)</f>
        <v>0</v>
      </c>
      <c r="M52">
        <f t="shared" si="5"/>
        <v>0</v>
      </c>
      <c r="N52">
        <f t="shared" si="6"/>
        <v>0</v>
      </c>
      <c r="O52">
        <f t="shared" si="7"/>
        <v>0</v>
      </c>
      <c r="Q52">
        <v>32.090000000000003</v>
      </c>
      <c r="R52">
        <v>4.5359999999999996</v>
      </c>
      <c r="S52">
        <f t="shared" si="8"/>
        <v>0</v>
      </c>
      <c r="T52">
        <f>SQRT(O52*O52)*100</f>
        <v>0</v>
      </c>
    </row>
    <row r="53" spans="1:20" x14ac:dyDescent="0.3">
      <c r="A53">
        <v>9800830</v>
      </c>
      <c r="B53">
        <f t="shared" si="0"/>
        <v>9.0999999999999998E-2</v>
      </c>
      <c r="C53">
        <f t="shared" si="1"/>
        <v>4.6269999999999998</v>
      </c>
      <c r="D53">
        <v>-0.68</v>
      </c>
      <c r="E53">
        <v>0</v>
      </c>
      <c r="F53">
        <v>-0.75</v>
      </c>
      <c r="G53">
        <f t="shared" si="2"/>
        <v>0</v>
      </c>
      <c r="H53">
        <f t="shared" si="3"/>
        <v>0.01</v>
      </c>
      <c r="I53">
        <f t="shared" si="4"/>
        <v>1.0000000000000009E-2</v>
      </c>
      <c r="J53">
        <f>IF(ABS(D53-D52) &gt; $P$2, 1/2*(D53+D52)*9.81*B53 + J52, 0)</f>
        <v>0</v>
      </c>
      <c r="K53">
        <f>IF(ABS(E53-E52) &gt; $P$2, 1/2*(E53+E52)*9.81*B53 + K52, 0)</f>
        <v>0</v>
      </c>
      <c r="L53">
        <f>IF(ABS(F53-F52) &gt; $P$2, 1/2*(F53+F52)*9.81*B53 + L52, 0)</f>
        <v>0</v>
      </c>
      <c r="M53">
        <f t="shared" si="5"/>
        <v>0</v>
      </c>
      <c r="N53">
        <f t="shared" si="6"/>
        <v>0</v>
      </c>
      <c r="O53">
        <f t="shared" si="7"/>
        <v>0</v>
      </c>
      <c r="Q53">
        <v>32.299999999999997</v>
      </c>
      <c r="R53">
        <v>4.6269999999999998</v>
      </c>
      <c r="S53">
        <f t="shared" si="8"/>
        <v>0.20999999999999375</v>
      </c>
      <c r="T53">
        <f>SQRT(O53*O53)*100</f>
        <v>0</v>
      </c>
    </row>
    <row r="54" spans="1:20" x14ac:dyDescent="0.3">
      <c r="A54">
        <v>9800921</v>
      </c>
      <c r="B54">
        <f t="shared" si="0"/>
        <v>9.0999999999999998E-2</v>
      </c>
      <c r="C54">
        <f t="shared" si="1"/>
        <v>4.718</v>
      </c>
      <c r="D54">
        <v>-0.68</v>
      </c>
      <c r="E54">
        <v>0.01</v>
      </c>
      <c r="F54">
        <v>-0.76</v>
      </c>
      <c r="G54">
        <f t="shared" si="2"/>
        <v>0</v>
      </c>
      <c r="H54">
        <f t="shared" si="3"/>
        <v>0.01</v>
      </c>
      <c r="I54">
        <f t="shared" si="4"/>
        <v>1.0000000000000009E-2</v>
      </c>
      <c r="J54">
        <f>IF(ABS(D54-D53) &gt; $P$2, 1/2*(D54+D53)*9.81*B54 + J53, 0)</f>
        <v>0</v>
      </c>
      <c r="K54">
        <f>IF(ABS(E54-E53) &gt; $P$2, 1/2*(E54+E53)*9.81*B54 + K53, 0)</f>
        <v>0</v>
      </c>
      <c r="L54">
        <f>IF(ABS(F54-F53) &gt; $P$2, 1/2*(F54+F53)*9.81*B54 + L53, 0)</f>
        <v>0</v>
      </c>
      <c r="M54">
        <f t="shared" si="5"/>
        <v>0</v>
      </c>
      <c r="N54">
        <f t="shared" si="6"/>
        <v>0</v>
      </c>
      <c r="O54">
        <f t="shared" si="7"/>
        <v>0</v>
      </c>
      <c r="Q54">
        <v>31.88</v>
      </c>
      <c r="R54">
        <v>4.718</v>
      </c>
      <c r="S54">
        <f t="shared" si="8"/>
        <v>-0.21000000000000441</v>
      </c>
      <c r="T54">
        <f>SQRT(O54*O54)*100</f>
        <v>0</v>
      </c>
    </row>
    <row r="55" spans="1:20" x14ac:dyDescent="0.3">
      <c r="A55">
        <v>9801012</v>
      </c>
      <c r="B55">
        <f t="shared" si="0"/>
        <v>9.0999999999999998E-2</v>
      </c>
      <c r="C55">
        <f t="shared" si="1"/>
        <v>4.8090000000000002</v>
      </c>
      <c r="D55">
        <v>-0.68</v>
      </c>
      <c r="E55">
        <v>0.01</v>
      </c>
      <c r="F55">
        <v>-0.75</v>
      </c>
      <c r="G55">
        <f t="shared" si="2"/>
        <v>0</v>
      </c>
      <c r="H55">
        <f t="shared" si="3"/>
        <v>0</v>
      </c>
      <c r="I55">
        <f t="shared" si="4"/>
        <v>1.0000000000000009E-2</v>
      </c>
      <c r="J55">
        <f>IF(ABS(D55-D54) &gt; $P$2, 1/2*(D55+D54)*9.81*B55 + J54, 0)</f>
        <v>0</v>
      </c>
      <c r="K55">
        <f>IF(ABS(E55-E54) &gt; $P$2, 1/2*(E55+E54)*9.81*B55 + K54, 0)</f>
        <v>0</v>
      </c>
      <c r="L55">
        <f>IF(ABS(F55-F54) &gt; $P$2, 1/2*(F55+F54)*9.81*B55 + L54, 0)</f>
        <v>0</v>
      </c>
      <c r="M55">
        <f t="shared" si="5"/>
        <v>0</v>
      </c>
      <c r="N55">
        <f t="shared" si="6"/>
        <v>0</v>
      </c>
      <c r="O55">
        <f t="shared" si="7"/>
        <v>0</v>
      </c>
      <c r="Q55">
        <v>31.67</v>
      </c>
      <c r="R55">
        <v>4.8090000000000002</v>
      </c>
      <c r="S55">
        <f t="shared" si="8"/>
        <v>-0.42000000000000171</v>
      </c>
      <c r="T55">
        <f>SQRT(O55*O55)*100</f>
        <v>0</v>
      </c>
    </row>
    <row r="56" spans="1:20" x14ac:dyDescent="0.3">
      <c r="A56">
        <v>9801103</v>
      </c>
      <c r="B56">
        <f t="shared" si="0"/>
        <v>9.0999999999999998E-2</v>
      </c>
      <c r="C56">
        <f t="shared" si="1"/>
        <v>4.9000000000000004</v>
      </c>
      <c r="D56">
        <v>-0.68</v>
      </c>
      <c r="E56">
        <v>0.02</v>
      </c>
      <c r="F56" s="1">
        <v>-0.77</v>
      </c>
      <c r="G56">
        <f t="shared" si="2"/>
        <v>0</v>
      </c>
      <c r="H56">
        <f t="shared" si="3"/>
        <v>0.01</v>
      </c>
      <c r="I56">
        <f t="shared" si="4"/>
        <v>2.0000000000000018E-2</v>
      </c>
      <c r="J56">
        <f>IF(ABS(D56-D55) &gt; $P$2, 1/2*(D56+D55)*9.81*B56 + J55, 0)</f>
        <v>0</v>
      </c>
      <c r="K56">
        <f>IF(ABS(E56-E55) &gt; $P$2, 1/2*(E56+E55)*9.81*B56 + K55, 0)</f>
        <v>0</v>
      </c>
      <c r="L56">
        <f>IF(ABS(F56-F55) &gt; $P$2, 1/2*(F56+F55)*9.81*B56 + L55, 0)</f>
        <v>0</v>
      </c>
      <c r="M56">
        <f t="shared" si="5"/>
        <v>0</v>
      </c>
      <c r="N56">
        <f t="shared" si="6"/>
        <v>0</v>
      </c>
      <c r="O56">
        <f t="shared" si="7"/>
        <v>0</v>
      </c>
      <c r="Q56">
        <v>31.67</v>
      </c>
      <c r="R56">
        <v>4.9000000000000004</v>
      </c>
      <c r="S56">
        <f t="shared" si="8"/>
        <v>-0.42000000000000171</v>
      </c>
      <c r="T56">
        <f>SQRT(O56*O56)*100</f>
        <v>0</v>
      </c>
    </row>
    <row r="57" spans="1:20" x14ac:dyDescent="0.3">
      <c r="A57">
        <v>9801193</v>
      </c>
      <c r="B57">
        <f t="shared" si="0"/>
        <v>0.09</v>
      </c>
      <c r="C57">
        <f t="shared" si="1"/>
        <v>4.99</v>
      </c>
      <c r="D57">
        <v>-0.68</v>
      </c>
      <c r="E57">
        <v>0.01</v>
      </c>
      <c r="F57">
        <v>-0.77</v>
      </c>
      <c r="G57">
        <f t="shared" si="2"/>
        <v>0</v>
      </c>
      <c r="H57">
        <f t="shared" si="3"/>
        <v>0.01</v>
      </c>
      <c r="I57">
        <f t="shared" si="4"/>
        <v>0</v>
      </c>
      <c r="J57">
        <f>IF(ABS(D57-D56) &gt; $P$2, 1/2*(D57+D56)*9.81*B57 + J56, 0)</f>
        <v>0</v>
      </c>
      <c r="K57">
        <f>IF(ABS(E57-E56) &gt; $P$2, 1/2*(E57+E56)*9.81*B57 + K56, 0)</f>
        <v>0</v>
      </c>
      <c r="L57">
        <f>IF(ABS(F57-F56) &gt; $P$2, 1/2*(F57+F56)*9.81*B57 + L56, 0)</f>
        <v>0</v>
      </c>
      <c r="M57">
        <f t="shared" si="5"/>
        <v>0</v>
      </c>
      <c r="N57">
        <f t="shared" si="6"/>
        <v>0</v>
      </c>
      <c r="O57">
        <f t="shared" si="7"/>
        <v>0</v>
      </c>
      <c r="Q57">
        <v>31.88</v>
      </c>
      <c r="R57">
        <v>4.99</v>
      </c>
      <c r="S57">
        <f t="shared" si="8"/>
        <v>-0.21000000000000441</v>
      </c>
      <c r="T57">
        <f>SQRT(O57*O57)*100</f>
        <v>0</v>
      </c>
    </row>
    <row r="58" spans="1:20" x14ac:dyDescent="0.3">
      <c r="A58">
        <v>9801284</v>
      </c>
      <c r="B58">
        <f t="shared" si="0"/>
        <v>9.0999999999999998E-2</v>
      </c>
      <c r="C58">
        <f t="shared" si="1"/>
        <v>5.0810000000000004</v>
      </c>
      <c r="D58">
        <v>-0.68</v>
      </c>
      <c r="E58">
        <v>0.01</v>
      </c>
      <c r="F58">
        <v>-0.76</v>
      </c>
      <c r="G58">
        <f t="shared" si="2"/>
        <v>0</v>
      </c>
      <c r="H58">
        <f t="shared" si="3"/>
        <v>0</v>
      </c>
      <c r="I58">
        <f t="shared" si="4"/>
        <v>1.0000000000000009E-2</v>
      </c>
      <c r="J58">
        <f>IF(ABS(D58-D57) &gt; $P$2, 1/2*(D58+D57)*9.81*B58 + J57, 0)</f>
        <v>0</v>
      </c>
      <c r="K58">
        <f>IF(ABS(E58-E57) &gt; $P$2, 1/2*(E58+E57)*9.81*B58 + K57, 0)</f>
        <v>0</v>
      </c>
      <c r="L58">
        <f>IF(ABS(F58-F57) &gt; $P$2, 1/2*(F58+F57)*9.81*B58 + L57, 0)</f>
        <v>0</v>
      </c>
      <c r="M58">
        <f t="shared" si="5"/>
        <v>0</v>
      </c>
      <c r="N58">
        <f t="shared" si="6"/>
        <v>0</v>
      </c>
      <c r="O58">
        <f t="shared" si="7"/>
        <v>0</v>
      </c>
      <c r="Q58">
        <v>32.299999999999997</v>
      </c>
      <c r="R58">
        <v>5.0810000000000004</v>
      </c>
      <c r="S58">
        <f t="shared" si="8"/>
        <v>0.20999999999999375</v>
      </c>
      <c r="T58">
        <f>SQRT(O58*O58)*100</f>
        <v>0</v>
      </c>
    </row>
    <row r="59" spans="1:20" x14ac:dyDescent="0.3">
      <c r="A59">
        <v>9801374</v>
      </c>
      <c r="B59">
        <f t="shared" si="0"/>
        <v>0.09</v>
      </c>
      <c r="C59">
        <f t="shared" si="1"/>
        <v>5.1710000000000003</v>
      </c>
      <c r="D59">
        <v>-0.68</v>
      </c>
      <c r="E59">
        <v>0.01</v>
      </c>
      <c r="F59">
        <v>-0.75</v>
      </c>
      <c r="G59">
        <f t="shared" si="2"/>
        <v>0</v>
      </c>
      <c r="H59">
        <f t="shared" si="3"/>
        <v>0</v>
      </c>
      <c r="I59">
        <f t="shared" si="4"/>
        <v>1.0000000000000009E-2</v>
      </c>
      <c r="J59">
        <f>IF(ABS(D59-D58) &gt; $P$2, 1/2*(D59+D58)*9.81*B59 + J58, 0)</f>
        <v>0</v>
      </c>
      <c r="K59">
        <f>IF(ABS(E59-E58) &gt; $P$2, 1/2*(E59+E58)*9.81*B59 + K58, 0)</f>
        <v>0</v>
      </c>
      <c r="L59">
        <f>IF(ABS(F59-F58) &gt; $P$2, 1/2*(F59+F58)*9.81*B59 + L58, 0)</f>
        <v>0</v>
      </c>
      <c r="M59">
        <f t="shared" si="5"/>
        <v>0</v>
      </c>
      <c r="N59">
        <f t="shared" si="6"/>
        <v>0</v>
      </c>
      <c r="O59">
        <f t="shared" si="7"/>
        <v>0</v>
      </c>
      <c r="Q59">
        <v>31.88</v>
      </c>
      <c r="R59">
        <v>5.1710000000000003</v>
      </c>
      <c r="S59">
        <f t="shared" si="8"/>
        <v>-0.21000000000000441</v>
      </c>
      <c r="T59">
        <f>SQRT(O59*O59)*100</f>
        <v>0</v>
      </c>
    </row>
    <row r="60" spans="1:20" x14ac:dyDescent="0.3">
      <c r="A60">
        <v>9801465</v>
      </c>
      <c r="B60">
        <f t="shared" si="0"/>
        <v>9.0999999999999998E-2</v>
      </c>
      <c r="C60">
        <f t="shared" si="1"/>
        <v>5.2619999999999996</v>
      </c>
      <c r="D60">
        <v>-0.68</v>
      </c>
      <c r="E60">
        <v>0.01</v>
      </c>
      <c r="F60" s="1">
        <v>-0.77</v>
      </c>
      <c r="G60">
        <f t="shared" si="2"/>
        <v>0</v>
      </c>
      <c r="H60">
        <f t="shared" si="3"/>
        <v>0</v>
      </c>
      <c r="I60">
        <f t="shared" si="4"/>
        <v>2.0000000000000018E-2</v>
      </c>
      <c r="J60">
        <f>IF(ABS(D60-D59) &gt; $P$2, 1/2*(D60+D59)*9.81*B60 + J59, 0)</f>
        <v>0</v>
      </c>
      <c r="K60">
        <f>IF(ABS(E60-E59) &gt; $P$2, 1/2*(E60+E59)*9.81*B60 + K59, 0)</f>
        <v>0</v>
      </c>
      <c r="L60">
        <f>IF(ABS(F60-F59) &gt; $P$2, 1/2*(F60+F59)*9.81*B60 + L59, 0)</f>
        <v>0</v>
      </c>
      <c r="M60">
        <f t="shared" si="5"/>
        <v>0</v>
      </c>
      <c r="N60">
        <f t="shared" si="6"/>
        <v>0</v>
      </c>
      <c r="O60">
        <f t="shared" si="7"/>
        <v>0</v>
      </c>
      <c r="Q60">
        <v>31.88</v>
      </c>
      <c r="R60">
        <v>5.2619999999999996</v>
      </c>
      <c r="S60">
        <f t="shared" si="8"/>
        <v>-0.21000000000000441</v>
      </c>
      <c r="T60">
        <f>SQRT(O60*O60)*100</f>
        <v>0</v>
      </c>
    </row>
    <row r="61" spans="1:20" x14ac:dyDescent="0.3">
      <c r="A61">
        <v>9801556</v>
      </c>
      <c r="B61">
        <f t="shared" si="0"/>
        <v>9.0999999999999998E-2</v>
      </c>
      <c r="C61">
        <f t="shared" si="1"/>
        <v>5.3529999999999998</v>
      </c>
      <c r="D61">
        <v>-0.68</v>
      </c>
      <c r="E61">
        <v>0.01</v>
      </c>
      <c r="F61">
        <v>-0.76</v>
      </c>
      <c r="G61">
        <f t="shared" si="2"/>
        <v>0</v>
      </c>
      <c r="H61">
        <f t="shared" si="3"/>
        <v>0</v>
      </c>
      <c r="I61">
        <f t="shared" si="4"/>
        <v>1.0000000000000009E-2</v>
      </c>
      <c r="J61">
        <f>IF(ABS(D61-D60) &gt; $P$2, 1/2*(D61+D60)*9.81*B61 + J60, 0)</f>
        <v>0</v>
      </c>
      <c r="K61">
        <f>IF(ABS(E61-E60) &gt; $P$2, 1/2*(E61+E60)*9.81*B61 + K60, 0)</f>
        <v>0</v>
      </c>
      <c r="L61">
        <f>IF(ABS(F61-F60) &gt; $P$2, 1/2*(F61+F60)*9.81*B61 + L60, 0)</f>
        <v>0</v>
      </c>
      <c r="M61">
        <f t="shared" si="5"/>
        <v>0</v>
      </c>
      <c r="N61">
        <f t="shared" si="6"/>
        <v>0</v>
      </c>
      <c r="O61">
        <f t="shared" si="7"/>
        <v>0</v>
      </c>
      <c r="Q61">
        <v>31.67</v>
      </c>
      <c r="R61">
        <v>5.3529999999999998</v>
      </c>
      <c r="S61">
        <f t="shared" si="8"/>
        <v>-0.42000000000000171</v>
      </c>
      <c r="T61">
        <f>SQRT(O61*O61)*100</f>
        <v>0</v>
      </c>
    </row>
    <row r="62" spans="1:20" x14ac:dyDescent="0.3">
      <c r="A62">
        <v>9801647</v>
      </c>
      <c r="B62">
        <f t="shared" si="0"/>
        <v>9.0999999999999998E-2</v>
      </c>
      <c r="C62">
        <f t="shared" si="1"/>
        <v>5.444</v>
      </c>
      <c r="D62">
        <v>-0.68</v>
      </c>
      <c r="E62">
        <v>0.01</v>
      </c>
      <c r="F62">
        <v>-0.75</v>
      </c>
      <c r="G62">
        <f t="shared" si="2"/>
        <v>0</v>
      </c>
      <c r="H62">
        <f t="shared" si="3"/>
        <v>0</v>
      </c>
      <c r="I62">
        <f t="shared" si="4"/>
        <v>1.0000000000000009E-2</v>
      </c>
      <c r="J62">
        <f>IF(ABS(D62-D61) &gt; $P$2, 1/2*(D62+D61)*9.81*B62 + J61, 0)</f>
        <v>0</v>
      </c>
      <c r="K62">
        <f>IF(ABS(E62-E61) &gt; $P$2, 1/2*(E62+E61)*9.81*B62 + K61, 0)</f>
        <v>0</v>
      </c>
      <c r="L62">
        <f>IF(ABS(F62-F61) &gt; $P$2, 1/2*(F62+F61)*9.81*B62 + L61, 0)</f>
        <v>0</v>
      </c>
      <c r="M62">
        <f t="shared" si="5"/>
        <v>0</v>
      </c>
      <c r="N62">
        <f t="shared" si="6"/>
        <v>0</v>
      </c>
      <c r="O62">
        <f t="shared" si="7"/>
        <v>0</v>
      </c>
      <c r="Q62">
        <v>32.5</v>
      </c>
      <c r="R62">
        <v>5.444</v>
      </c>
      <c r="S62">
        <f t="shared" si="8"/>
        <v>0.40999999999999659</v>
      </c>
      <c r="T62">
        <f>SQRT(O62*O62)*100</f>
        <v>0</v>
      </c>
    </row>
    <row r="63" spans="1:20" x14ac:dyDescent="0.3">
      <c r="A63">
        <v>9801738</v>
      </c>
      <c r="B63">
        <f t="shared" si="0"/>
        <v>9.0999999999999998E-2</v>
      </c>
      <c r="C63">
        <f t="shared" si="1"/>
        <v>5.5350000000000001</v>
      </c>
      <c r="D63">
        <v>-0.68</v>
      </c>
      <c r="E63">
        <v>0.01</v>
      </c>
      <c r="F63">
        <v>-0.76</v>
      </c>
      <c r="G63">
        <f t="shared" si="2"/>
        <v>0</v>
      </c>
      <c r="H63">
        <f t="shared" si="3"/>
        <v>0</v>
      </c>
      <c r="I63">
        <f t="shared" si="4"/>
        <v>1.0000000000000009E-2</v>
      </c>
      <c r="J63">
        <f>IF(ABS(D63-D62) &gt; $P$2, 1/2*(D63+D62)*9.81*B63 + J62, 0)</f>
        <v>0</v>
      </c>
      <c r="K63">
        <f>IF(ABS(E63-E62) &gt; $P$2, 1/2*(E63+E62)*9.81*B63 + K62, 0)</f>
        <v>0</v>
      </c>
      <c r="L63">
        <f>IF(ABS(F63-F62) &gt; $P$2, 1/2*(F63+F62)*9.81*B63 + L62, 0)</f>
        <v>0</v>
      </c>
      <c r="M63">
        <f t="shared" si="5"/>
        <v>0</v>
      </c>
      <c r="N63">
        <f t="shared" si="6"/>
        <v>0</v>
      </c>
      <c r="O63">
        <f t="shared" si="7"/>
        <v>0</v>
      </c>
      <c r="Q63">
        <v>31.67</v>
      </c>
      <c r="R63">
        <v>5.5350000000000001</v>
      </c>
      <c r="S63">
        <f t="shared" si="8"/>
        <v>-0.42000000000000171</v>
      </c>
      <c r="T63">
        <f>SQRT(O63*O63)*100</f>
        <v>0</v>
      </c>
    </row>
    <row r="64" spans="1:20" x14ac:dyDescent="0.3">
      <c r="A64">
        <v>9801828</v>
      </c>
      <c r="B64">
        <f t="shared" si="0"/>
        <v>0.09</v>
      </c>
      <c r="C64">
        <f t="shared" si="1"/>
        <v>5.625</v>
      </c>
      <c r="D64">
        <v>-0.68</v>
      </c>
      <c r="E64">
        <v>0.01</v>
      </c>
      <c r="F64">
        <v>-0.77</v>
      </c>
      <c r="G64">
        <f t="shared" si="2"/>
        <v>0</v>
      </c>
      <c r="H64">
        <f t="shared" si="3"/>
        <v>0</v>
      </c>
      <c r="I64">
        <f t="shared" si="4"/>
        <v>1.0000000000000009E-2</v>
      </c>
      <c r="J64">
        <f>IF(ABS(D64-D63) &gt; $P$2, 1/2*(D64+D63)*9.81*B64 + J63, 0)</f>
        <v>0</v>
      </c>
      <c r="K64">
        <f>IF(ABS(E64-E63) &gt; $P$2, 1/2*(E64+E63)*9.81*B64 + K63, 0)</f>
        <v>0</v>
      </c>
      <c r="L64">
        <f>IF(ABS(F64-F63) &gt; $P$2, 1/2*(F64+F63)*9.81*B64 + L63, 0)</f>
        <v>0</v>
      </c>
      <c r="M64">
        <f t="shared" si="5"/>
        <v>0</v>
      </c>
      <c r="N64">
        <f t="shared" si="6"/>
        <v>0</v>
      </c>
      <c r="O64">
        <f t="shared" si="7"/>
        <v>0</v>
      </c>
      <c r="Q64">
        <v>31.88</v>
      </c>
      <c r="R64">
        <v>5.625</v>
      </c>
      <c r="S64">
        <f t="shared" si="8"/>
        <v>-0.21000000000000441</v>
      </c>
      <c r="T64">
        <f>SQRT(O64*O64)*100</f>
        <v>0</v>
      </c>
    </row>
    <row r="65" spans="1:20" x14ac:dyDescent="0.3">
      <c r="A65">
        <v>9801919</v>
      </c>
      <c r="B65">
        <f t="shared" si="0"/>
        <v>9.0999999999999998E-2</v>
      </c>
      <c r="C65">
        <f t="shared" si="1"/>
        <v>5.7160000000000002</v>
      </c>
      <c r="D65">
        <v>-0.68</v>
      </c>
      <c r="E65">
        <v>0.01</v>
      </c>
      <c r="F65">
        <v>-0.76</v>
      </c>
      <c r="G65">
        <f t="shared" si="2"/>
        <v>0</v>
      </c>
      <c r="H65">
        <f t="shared" si="3"/>
        <v>0</v>
      </c>
      <c r="I65">
        <f t="shared" si="4"/>
        <v>1.0000000000000009E-2</v>
      </c>
      <c r="J65">
        <f>IF(ABS(D65-D64) &gt; $P$2, 1/2*(D65+D64)*9.81*B65 + J64, 0)</f>
        <v>0</v>
      </c>
      <c r="K65">
        <f>IF(ABS(E65-E64) &gt; $P$2, 1/2*(E65+E64)*9.81*B65 + K64, 0)</f>
        <v>0</v>
      </c>
      <c r="L65">
        <f>IF(ABS(F65-F64) &gt; $P$2, 1/2*(F65+F64)*9.81*B65 + L64, 0)</f>
        <v>0</v>
      </c>
      <c r="M65">
        <f t="shared" si="5"/>
        <v>0</v>
      </c>
      <c r="N65">
        <f t="shared" si="6"/>
        <v>0</v>
      </c>
      <c r="O65">
        <f t="shared" si="7"/>
        <v>0</v>
      </c>
      <c r="Q65">
        <v>31.88</v>
      </c>
      <c r="R65">
        <v>5.7160000000000002</v>
      </c>
      <c r="S65">
        <f t="shared" si="8"/>
        <v>-0.21000000000000441</v>
      </c>
      <c r="T65">
        <f>SQRT(O65*O65)*100</f>
        <v>0</v>
      </c>
    </row>
    <row r="66" spans="1:20" x14ac:dyDescent="0.3">
      <c r="A66">
        <v>9802010</v>
      </c>
      <c r="B66">
        <f t="shared" si="0"/>
        <v>9.0999999999999998E-2</v>
      </c>
      <c r="C66">
        <f t="shared" si="1"/>
        <v>5.8070000000000004</v>
      </c>
      <c r="D66">
        <v>-0.68</v>
      </c>
      <c r="E66">
        <v>0.02</v>
      </c>
      <c r="F66">
        <v>-0.76</v>
      </c>
      <c r="G66">
        <f t="shared" si="2"/>
        <v>0</v>
      </c>
      <c r="H66">
        <f t="shared" si="3"/>
        <v>0.01</v>
      </c>
      <c r="I66">
        <f t="shared" si="4"/>
        <v>0</v>
      </c>
      <c r="J66">
        <f>IF(ABS(D66-D65) &gt; $P$2, 1/2*(D66+D65)*9.81*B66 + J65, 0)</f>
        <v>0</v>
      </c>
      <c r="K66">
        <f>IF(ABS(E66-E65) &gt; $P$2, 1/2*(E66+E65)*9.81*B66 + K65, 0)</f>
        <v>0</v>
      </c>
      <c r="L66">
        <f>IF(ABS(F66-F65) &gt; $P$2, 1/2*(F66+F65)*9.81*B66 + L65, 0)</f>
        <v>0</v>
      </c>
      <c r="M66">
        <f t="shared" si="5"/>
        <v>0</v>
      </c>
      <c r="N66">
        <f t="shared" si="6"/>
        <v>0</v>
      </c>
      <c r="O66">
        <f t="shared" si="7"/>
        <v>0</v>
      </c>
      <c r="Q66">
        <v>32.299999999999997</v>
      </c>
      <c r="R66">
        <v>5.8070000000000004</v>
      </c>
      <c r="S66">
        <f t="shared" si="8"/>
        <v>0.20999999999999375</v>
      </c>
      <c r="T66">
        <f>SQRT(O66*O66)*100</f>
        <v>0</v>
      </c>
    </row>
    <row r="67" spans="1:20" x14ac:dyDescent="0.3">
      <c r="A67">
        <v>9802100</v>
      </c>
      <c r="B67">
        <f t="shared" si="0"/>
        <v>0.09</v>
      </c>
      <c r="C67">
        <f t="shared" si="1"/>
        <v>5.8970000000000002</v>
      </c>
      <c r="D67">
        <v>-0.68</v>
      </c>
      <c r="E67">
        <v>0.01</v>
      </c>
      <c r="F67">
        <v>-0.77</v>
      </c>
      <c r="G67">
        <f t="shared" si="2"/>
        <v>0</v>
      </c>
      <c r="H67">
        <f t="shared" si="3"/>
        <v>0.01</v>
      </c>
      <c r="I67">
        <f t="shared" si="4"/>
        <v>1.0000000000000009E-2</v>
      </c>
      <c r="J67">
        <f>IF(ABS(D67-D66) &gt; $P$2, 1/2*(D67+D66)*9.81*B67 + J66, 0)</f>
        <v>0</v>
      </c>
      <c r="K67">
        <f>IF(ABS(E67-E66) &gt; $P$2, 1/2*(E67+E66)*9.81*B67 + K66, 0)</f>
        <v>0</v>
      </c>
      <c r="L67">
        <f>IF(ABS(F67-F66) &gt; $P$2, 1/2*(F67+F66)*9.81*B67 + L66, 0)</f>
        <v>0</v>
      </c>
      <c r="M67">
        <f t="shared" si="5"/>
        <v>0</v>
      </c>
      <c r="N67">
        <f t="shared" si="6"/>
        <v>0</v>
      </c>
      <c r="O67">
        <f t="shared" si="7"/>
        <v>0</v>
      </c>
      <c r="Q67">
        <v>32.090000000000003</v>
      </c>
      <c r="R67">
        <v>5.8970000000000002</v>
      </c>
      <c r="S67">
        <f t="shared" si="8"/>
        <v>0</v>
      </c>
      <c r="T67">
        <f>SQRT(O67*O67)*100</f>
        <v>0</v>
      </c>
    </row>
    <row r="68" spans="1:20" x14ac:dyDescent="0.3">
      <c r="A68">
        <v>9802191</v>
      </c>
      <c r="B68">
        <f t="shared" ref="B68:B131" si="9">(A68-A67)/1000</f>
        <v>9.0999999999999998E-2</v>
      </c>
      <c r="C68">
        <f t="shared" ref="C68:C131" si="10">(A68-$A$2)/1000</f>
        <v>5.9880000000000004</v>
      </c>
      <c r="D68">
        <v>-0.68</v>
      </c>
      <c r="E68">
        <v>0.01</v>
      </c>
      <c r="F68">
        <v>-0.76</v>
      </c>
      <c r="G68">
        <f t="shared" ref="G68:G131" si="11">ABS(D68-D67)</f>
        <v>0</v>
      </c>
      <c r="H68">
        <f t="shared" ref="H68:H131" si="12">ABS(E68-E67)</f>
        <v>0</v>
      </c>
      <c r="I68">
        <f t="shared" ref="I68:I131" si="13">ABS(F68-F67)</f>
        <v>1.0000000000000009E-2</v>
      </c>
      <c r="J68">
        <f>IF(ABS(D68-D67) &gt; $P$2, 1/2*(D68+D67)*9.81*B68 + J67, 0)</f>
        <v>0</v>
      </c>
      <c r="K68">
        <f>IF(ABS(E68-E67) &gt; $P$2, 1/2*(E68+E67)*9.81*B68 + K67, 0)</f>
        <v>0</v>
      </c>
      <c r="L68">
        <f>IF(ABS(F68-F67) &gt; $P$2, 1/2*(F68+F67)*9.81*B68 + L67, 0)</f>
        <v>0</v>
      </c>
      <c r="M68">
        <f t="shared" ref="M68:M131" si="14">1/2*(J68+J67)*B68 + M67</f>
        <v>0</v>
      </c>
      <c r="N68">
        <f t="shared" ref="N68:N131" si="15">1/2*(K68+K67)*B68 + N67</f>
        <v>0</v>
      </c>
      <c r="O68">
        <f t="shared" ref="O68:O131" si="16">1/2*(L68+L67)*B68 + O67</f>
        <v>0</v>
      </c>
      <c r="Q68">
        <v>32.5</v>
      </c>
      <c r="R68">
        <v>5.9880000000000004</v>
      </c>
      <c r="S68">
        <f t="shared" ref="S68:S131" si="17">Q68-$Q$2</f>
        <v>0.40999999999999659</v>
      </c>
      <c r="T68">
        <f>SQRT(O68*O68)*100</f>
        <v>0</v>
      </c>
    </row>
    <row r="69" spans="1:20" x14ac:dyDescent="0.3">
      <c r="A69">
        <v>9802281</v>
      </c>
      <c r="B69">
        <f t="shared" si="9"/>
        <v>0.09</v>
      </c>
      <c r="C69">
        <f t="shared" si="10"/>
        <v>6.0780000000000003</v>
      </c>
      <c r="D69">
        <v>-0.68</v>
      </c>
      <c r="E69">
        <v>0.01</v>
      </c>
      <c r="F69">
        <v>-0.75</v>
      </c>
      <c r="G69">
        <f t="shared" si="11"/>
        <v>0</v>
      </c>
      <c r="H69">
        <f t="shared" si="12"/>
        <v>0</v>
      </c>
      <c r="I69">
        <f t="shared" si="13"/>
        <v>1.0000000000000009E-2</v>
      </c>
      <c r="J69">
        <f>IF(ABS(D69-D68) &gt; $P$2, 1/2*(D69+D68)*9.81*B69 + J68, 0)</f>
        <v>0</v>
      </c>
      <c r="K69">
        <f>IF(ABS(E69-E68) &gt; $P$2, 1/2*(E69+E68)*9.81*B69 + K68, 0)</f>
        <v>0</v>
      </c>
      <c r="L69">
        <f>IF(ABS(F69-F68) &gt; $P$2, 1/2*(F69+F68)*9.81*B69 + L68, 0)</f>
        <v>0</v>
      </c>
      <c r="M69">
        <f t="shared" si="14"/>
        <v>0</v>
      </c>
      <c r="N69">
        <f t="shared" si="15"/>
        <v>0</v>
      </c>
      <c r="O69">
        <f t="shared" si="16"/>
        <v>0</v>
      </c>
      <c r="Q69">
        <v>32.299999999999997</v>
      </c>
      <c r="R69">
        <v>6.0780000000000003</v>
      </c>
      <c r="S69">
        <f t="shared" si="17"/>
        <v>0.20999999999999375</v>
      </c>
      <c r="T69">
        <f>SQRT(O69*O69)*100</f>
        <v>0</v>
      </c>
    </row>
    <row r="70" spans="1:20" x14ac:dyDescent="0.3">
      <c r="A70">
        <v>9802373</v>
      </c>
      <c r="B70">
        <f t="shared" si="9"/>
        <v>9.1999999999999998E-2</v>
      </c>
      <c r="C70">
        <f t="shared" si="10"/>
        <v>6.17</v>
      </c>
      <c r="D70">
        <v>-0.68</v>
      </c>
      <c r="E70">
        <v>0.01</v>
      </c>
      <c r="F70">
        <v>-0.76</v>
      </c>
      <c r="G70">
        <f t="shared" si="11"/>
        <v>0</v>
      </c>
      <c r="H70">
        <f t="shared" si="12"/>
        <v>0</v>
      </c>
      <c r="I70">
        <f t="shared" si="13"/>
        <v>1.0000000000000009E-2</v>
      </c>
      <c r="J70">
        <f>IF(ABS(D70-D69) &gt; $P$2, 1/2*(D70+D69)*9.81*B70 + J69, 0)</f>
        <v>0</v>
      </c>
      <c r="K70">
        <f>IF(ABS(E70-E69) &gt; $P$2, 1/2*(E70+E69)*9.81*B70 + K69, 0)</f>
        <v>0</v>
      </c>
      <c r="L70">
        <f>IF(ABS(F70-F69) &gt; $P$2, 1/2*(F70+F69)*9.81*B70 + L69, 0)</f>
        <v>0</v>
      </c>
      <c r="M70">
        <f t="shared" si="14"/>
        <v>0</v>
      </c>
      <c r="N70">
        <f t="shared" si="15"/>
        <v>0</v>
      </c>
      <c r="O70">
        <f t="shared" si="16"/>
        <v>0</v>
      </c>
      <c r="Q70">
        <v>31.88</v>
      </c>
      <c r="R70">
        <v>6.17</v>
      </c>
      <c r="S70">
        <f t="shared" si="17"/>
        <v>-0.21000000000000441</v>
      </c>
      <c r="T70">
        <f>SQRT(O70*O70)*100</f>
        <v>0</v>
      </c>
    </row>
    <row r="71" spans="1:20" x14ac:dyDescent="0.3">
      <c r="A71">
        <v>9802464</v>
      </c>
      <c r="B71">
        <f t="shared" si="9"/>
        <v>9.0999999999999998E-2</v>
      </c>
      <c r="C71">
        <f t="shared" si="10"/>
        <v>6.2610000000000001</v>
      </c>
      <c r="D71">
        <v>-0.68</v>
      </c>
      <c r="E71">
        <v>0.01</v>
      </c>
      <c r="F71">
        <v>-0.76</v>
      </c>
      <c r="G71">
        <f t="shared" si="11"/>
        <v>0</v>
      </c>
      <c r="H71">
        <f t="shared" si="12"/>
        <v>0</v>
      </c>
      <c r="I71">
        <f t="shared" si="13"/>
        <v>0</v>
      </c>
      <c r="J71">
        <f>IF(ABS(D71-D70) &gt; $P$2, 1/2*(D71+D70)*9.81*B71 + J70, 0)</f>
        <v>0</v>
      </c>
      <c r="K71">
        <f>IF(ABS(E71-E70) &gt; $P$2, 1/2*(E71+E70)*9.81*B71 + K70, 0)</f>
        <v>0</v>
      </c>
      <c r="L71">
        <f>IF(ABS(F71-F70) &gt; $P$2, 1/2*(F71+F70)*9.81*B71 + L70, 0)</f>
        <v>0</v>
      </c>
      <c r="M71">
        <f t="shared" si="14"/>
        <v>0</v>
      </c>
      <c r="N71">
        <f t="shared" si="15"/>
        <v>0</v>
      </c>
      <c r="O71">
        <f t="shared" si="16"/>
        <v>0</v>
      </c>
      <c r="Q71">
        <v>32.299999999999997</v>
      </c>
      <c r="R71">
        <v>6.2610000000000001</v>
      </c>
      <c r="S71">
        <f t="shared" si="17"/>
        <v>0.20999999999999375</v>
      </c>
      <c r="T71">
        <f>SQRT(O71*O71)*100</f>
        <v>0</v>
      </c>
    </row>
    <row r="72" spans="1:20" x14ac:dyDescent="0.3">
      <c r="A72">
        <v>9802554</v>
      </c>
      <c r="B72">
        <f t="shared" si="9"/>
        <v>0.09</v>
      </c>
      <c r="C72">
        <f t="shared" si="10"/>
        <v>6.351</v>
      </c>
      <c r="D72">
        <v>-0.68</v>
      </c>
      <c r="E72">
        <v>0.01</v>
      </c>
      <c r="F72">
        <v>-0.76</v>
      </c>
      <c r="G72">
        <f t="shared" si="11"/>
        <v>0</v>
      </c>
      <c r="H72">
        <f t="shared" si="12"/>
        <v>0</v>
      </c>
      <c r="I72">
        <f t="shared" si="13"/>
        <v>0</v>
      </c>
      <c r="J72">
        <f>IF(ABS(D72-D71) &gt; $P$2, 1/2*(D72+D71)*9.81*B72 + J71, 0)</f>
        <v>0</v>
      </c>
      <c r="K72">
        <f>IF(ABS(E72-E71) &gt; $P$2, 1/2*(E72+E71)*9.81*B72 + K71, 0)</f>
        <v>0</v>
      </c>
      <c r="L72">
        <f>IF(ABS(F72-F71) &gt; $P$2, 1/2*(F72+F71)*9.81*B72 + L71, 0)</f>
        <v>0</v>
      </c>
      <c r="M72">
        <f t="shared" si="14"/>
        <v>0</v>
      </c>
      <c r="N72">
        <f t="shared" si="15"/>
        <v>0</v>
      </c>
      <c r="O72">
        <f t="shared" si="16"/>
        <v>0</v>
      </c>
      <c r="Q72">
        <v>32.299999999999997</v>
      </c>
      <c r="R72">
        <v>6.351</v>
      </c>
      <c r="S72">
        <f t="shared" si="17"/>
        <v>0.20999999999999375</v>
      </c>
      <c r="T72">
        <f>SQRT(O72*O72)*100</f>
        <v>0</v>
      </c>
    </row>
    <row r="73" spans="1:20" x14ac:dyDescent="0.3">
      <c r="A73">
        <v>9802645</v>
      </c>
      <c r="B73">
        <f t="shared" si="9"/>
        <v>9.0999999999999998E-2</v>
      </c>
      <c r="C73">
        <f t="shared" si="10"/>
        <v>6.4420000000000002</v>
      </c>
      <c r="D73">
        <v>-0.68</v>
      </c>
      <c r="E73">
        <v>0.01</v>
      </c>
      <c r="F73">
        <v>-0.76</v>
      </c>
      <c r="G73">
        <f t="shared" si="11"/>
        <v>0</v>
      </c>
      <c r="H73">
        <f t="shared" si="12"/>
        <v>0</v>
      </c>
      <c r="I73">
        <f t="shared" si="13"/>
        <v>0</v>
      </c>
      <c r="J73">
        <f>IF(ABS(D73-D72) &gt; $P$2, 1/2*(D73+D72)*9.81*B73 + J72, 0)</f>
        <v>0</v>
      </c>
      <c r="K73">
        <f>IF(ABS(E73-E72) &gt; $P$2, 1/2*(E73+E72)*9.81*B73 + K72, 0)</f>
        <v>0</v>
      </c>
      <c r="L73">
        <f>IF(ABS(F73-F72) &gt; $P$2, 1/2*(F73+F72)*9.81*B73 + L72, 0)</f>
        <v>0</v>
      </c>
      <c r="M73">
        <f t="shared" si="14"/>
        <v>0</v>
      </c>
      <c r="N73">
        <f t="shared" si="15"/>
        <v>0</v>
      </c>
      <c r="O73">
        <f t="shared" si="16"/>
        <v>0</v>
      </c>
      <c r="Q73">
        <v>31.88</v>
      </c>
      <c r="R73">
        <v>6.4420000000000002</v>
      </c>
      <c r="S73">
        <f t="shared" si="17"/>
        <v>-0.21000000000000441</v>
      </c>
      <c r="T73">
        <f>SQRT(O73*O73)*100</f>
        <v>0</v>
      </c>
    </row>
    <row r="74" spans="1:20" x14ac:dyDescent="0.3">
      <c r="A74">
        <v>9802735</v>
      </c>
      <c r="B74">
        <f t="shared" si="9"/>
        <v>0.09</v>
      </c>
      <c r="C74">
        <f t="shared" si="10"/>
        <v>6.532</v>
      </c>
      <c r="D74">
        <v>-0.68</v>
      </c>
      <c r="E74">
        <v>0.01</v>
      </c>
      <c r="F74">
        <v>-0.76</v>
      </c>
      <c r="G74">
        <f t="shared" si="11"/>
        <v>0</v>
      </c>
      <c r="H74">
        <f t="shared" si="12"/>
        <v>0</v>
      </c>
      <c r="I74">
        <f t="shared" si="13"/>
        <v>0</v>
      </c>
      <c r="J74">
        <f>IF(ABS(D74-D73) &gt; $P$2, 1/2*(D74+D73)*9.81*B74 + J73, 0)</f>
        <v>0</v>
      </c>
      <c r="K74">
        <f>IF(ABS(E74-E73) &gt; $P$2, 1/2*(E74+E73)*9.81*B74 + K73, 0)</f>
        <v>0</v>
      </c>
      <c r="L74">
        <f>IF(ABS(F74-F73) &gt; $P$2, 1/2*(F74+F73)*9.81*B74 + L73, 0)</f>
        <v>0</v>
      </c>
      <c r="M74">
        <f t="shared" si="14"/>
        <v>0</v>
      </c>
      <c r="N74">
        <f t="shared" si="15"/>
        <v>0</v>
      </c>
      <c r="O74">
        <f t="shared" si="16"/>
        <v>0</v>
      </c>
      <c r="Q74">
        <v>32.299999999999997</v>
      </c>
      <c r="R74">
        <v>6.532</v>
      </c>
      <c r="S74">
        <f t="shared" si="17"/>
        <v>0.20999999999999375</v>
      </c>
      <c r="T74">
        <f>SQRT(O74*O74)*100</f>
        <v>0</v>
      </c>
    </row>
    <row r="75" spans="1:20" x14ac:dyDescent="0.3">
      <c r="A75">
        <v>9802826</v>
      </c>
      <c r="B75">
        <f t="shared" si="9"/>
        <v>9.0999999999999998E-2</v>
      </c>
      <c r="C75">
        <f t="shared" si="10"/>
        <v>6.6230000000000002</v>
      </c>
      <c r="D75">
        <v>-0.68</v>
      </c>
      <c r="E75">
        <v>0.01</v>
      </c>
      <c r="F75">
        <v>-0.76</v>
      </c>
      <c r="G75">
        <f t="shared" si="11"/>
        <v>0</v>
      </c>
      <c r="H75">
        <f t="shared" si="12"/>
        <v>0</v>
      </c>
      <c r="I75">
        <f t="shared" si="13"/>
        <v>0</v>
      </c>
      <c r="J75">
        <f>IF(ABS(D75-D74) &gt; $P$2, 1/2*(D75+D74)*9.81*B75 + J74, 0)</f>
        <v>0</v>
      </c>
      <c r="K75">
        <f>IF(ABS(E75-E74) &gt; $P$2, 1/2*(E75+E74)*9.81*B75 + K74, 0)</f>
        <v>0</v>
      </c>
      <c r="L75">
        <f>IF(ABS(F75-F74) &gt; $P$2, 1/2*(F75+F74)*9.81*B75 + L74, 0)</f>
        <v>0</v>
      </c>
      <c r="M75">
        <f t="shared" si="14"/>
        <v>0</v>
      </c>
      <c r="N75">
        <f t="shared" si="15"/>
        <v>0</v>
      </c>
      <c r="O75">
        <f t="shared" si="16"/>
        <v>0</v>
      </c>
      <c r="Q75">
        <v>33.130000000000003</v>
      </c>
      <c r="R75">
        <v>6.6230000000000002</v>
      </c>
      <c r="S75">
        <f t="shared" si="17"/>
        <v>1.0399999999999991</v>
      </c>
      <c r="T75">
        <f>SQRT(O75*O75)*100</f>
        <v>0</v>
      </c>
    </row>
    <row r="76" spans="1:20" x14ac:dyDescent="0.3">
      <c r="A76">
        <v>9802917</v>
      </c>
      <c r="B76">
        <f t="shared" si="9"/>
        <v>9.0999999999999998E-2</v>
      </c>
      <c r="C76">
        <f t="shared" si="10"/>
        <v>6.7140000000000004</v>
      </c>
      <c r="D76">
        <v>-0.69</v>
      </c>
      <c r="E76">
        <v>0.01</v>
      </c>
      <c r="F76">
        <v>-0.76</v>
      </c>
      <c r="G76">
        <f t="shared" si="11"/>
        <v>9.9999999999998979E-3</v>
      </c>
      <c r="H76">
        <f t="shared" si="12"/>
        <v>0</v>
      </c>
      <c r="I76">
        <f t="shared" si="13"/>
        <v>0</v>
      </c>
      <c r="J76">
        <f>IF(ABS(D76-D75) &gt; $P$2, 1/2*(D76+D75)*9.81*B76 + J75, 0)</f>
        <v>0</v>
      </c>
      <c r="K76">
        <f>IF(ABS(E76-E75) &gt; $P$2, 1/2*(E76+E75)*9.81*B76 + K75, 0)</f>
        <v>0</v>
      </c>
      <c r="L76">
        <f>IF(ABS(F76-F75) &gt; $P$2, 1/2*(F76+F75)*9.81*B76 + L75, 0)</f>
        <v>0</v>
      </c>
      <c r="M76">
        <f t="shared" si="14"/>
        <v>0</v>
      </c>
      <c r="N76">
        <f t="shared" si="15"/>
        <v>0</v>
      </c>
      <c r="O76">
        <f t="shared" si="16"/>
        <v>0</v>
      </c>
      <c r="Q76">
        <v>31.88</v>
      </c>
      <c r="R76">
        <v>6.7140000000000004</v>
      </c>
      <c r="S76">
        <f t="shared" si="17"/>
        <v>-0.21000000000000441</v>
      </c>
      <c r="T76">
        <f>SQRT(O76*O76)*100</f>
        <v>0</v>
      </c>
    </row>
    <row r="77" spans="1:20" x14ac:dyDescent="0.3">
      <c r="A77">
        <v>9803008</v>
      </c>
      <c r="B77">
        <f t="shared" si="9"/>
        <v>9.0999999999999998E-2</v>
      </c>
      <c r="C77">
        <f t="shared" si="10"/>
        <v>6.8049999999999997</v>
      </c>
      <c r="D77">
        <v>-0.68</v>
      </c>
      <c r="E77">
        <v>0</v>
      </c>
      <c r="F77">
        <v>-0.76</v>
      </c>
      <c r="G77">
        <f t="shared" si="11"/>
        <v>9.9999999999998979E-3</v>
      </c>
      <c r="H77">
        <f t="shared" si="12"/>
        <v>0.01</v>
      </c>
      <c r="I77">
        <f t="shared" si="13"/>
        <v>0</v>
      </c>
      <c r="J77">
        <f>IF(ABS(D77-D76) &gt; $P$2, 1/2*(D77+D76)*9.81*B77 + J76, 0)</f>
        <v>0</v>
      </c>
      <c r="K77">
        <f>IF(ABS(E77-E76) &gt; $P$2, 1/2*(E77+E76)*9.81*B77 + K76, 0)</f>
        <v>0</v>
      </c>
      <c r="L77">
        <f>IF(ABS(F77-F76) &gt; $P$2, 1/2*(F77+F76)*9.81*B77 + L76, 0)</f>
        <v>0</v>
      </c>
      <c r="M77">
        <f t="shared" si="14"/>
        <v>0</v>
      </c>
      <c r="N77">
        <f t="shared" si="15"/>
        <v>0</v>
      </c>
      <c r="O77">
        <f t="shared" si="16"/>
        <v>0</v>
      </c>
      <c r="Q77">
        <v>32.299999999999997</v>
      </c>
      <c r="R77">
        <v>6.8049999999999997</v>
      </c>
      <c r="S77">
        <f t="shared" si="17"/>
        <v>0.20999999999999375</v>
      </c>
      <c r="T77">
        <f>SQRT(O77*O77)*100</f>
        <v>0</v>
      </c>
    </row>
    <row r="78" spans="1:20" x14ac:dyDescent="0.3">
      <c r="A78">
        <v>9803099</v>
      </c>
      <c r="B78">
        <f t="shared" si="9"/>
        <v>9.0999999999999998E-2</v>
      </c>
      <c r="C78">
        <f t="shared" si="10"/>
        <v>6.8959999999999999</v>
      </c>
      <c r="D78">
        <v>-0.68</v>
      </c>
      <c r="E78">
        <v>0.02</v>
      </c>
      <c r="F78">
        <v>-0.76</v>
      </c>
      <c r="G78">
        <f t="shared" si="11"/>
        <v>0</v>
      </c>
      <c r="H78">
        <f t="shared" si="12"/>
        <v>0.02</v>
      </c>
      <c r="I78">
        <f t="shared" si="13"/>
        <v>0</v>
      </c>
      <c r="J78">
        <f>IF(ABS(D78-D77) &gt; $P$2, 1/2*(D78+D77)*9.81*B78 + J77, 0)</f>
        <v>0</v>
      </c>
      <c r="K78">
        <f>IF(ABS(E78-E77) &gt; $P$2, 1/2*(E78+E77)*9.81*B78 + K77, 0)</f>
        <v>0</v>
      </c>
      <c r="L78">
        <f>IF(ABS(F78-F77) &gt; $P$2, 1/2*(F78+F77)*9.81*B78 + L77, 0)</f>
        <v>0</v>
      </c>
      <c r="M78">
        <f t="shared" si="14"/>
        <v>0</v>
      </c>
      <c r="N78">
        <f t="shared" si="15"/>
        <v>0</v>
      </c>
      <c r="O78">
        <f t="shared" si="16"/>
        <v>0</v>
      </c>
      <c r="Q78">
        <v>32.299999999999997</v>
      </c>
      <c r="R78">
        <v>6.8959999999999999</v>
      </c>
      <c r="S78">
        <f t="shared" si="17"/>
        <v>0.20999999999999375</v>
      </c>
      <c r="T78">
        <f>SQRT(O78*O78)*100</f>
        <v>0</v>
      </c>
    </row>
    <row r="79" spans="1:20" x14ac:dyDescent="0.3">
      <c r="A79">
        <v>9803189</v>
      </c>
      <c r="B79">
        <f t="shared" si="9"/>
        <v>0.09</v>
      </c>
      <c r="C79">
        <f t="shared" si="10"/>
        <v>6.9859999999999998</v>
      </c>
      <c r="D79">
        <v>-0.68</v>
      </c>
      <c r="E79">
        <v>0.01</v>
      </c>
      <c r="F79">
        <v>-0.76</v>
      </c>
      <c r="G79">
        <f t="shared" si="11"/>
        <v>0</v>
      </c>
      <c r="H79">
        <f t="shared" si="12"/>
        <v>0.01</v>
      </c>
      <c r="I79">
        <f t="shared" si="13"/>
        <v>0</v>
      </c>
      <c r="J79">
        <f>IF(ABS(D79-D78) &gt; $P$2, 1/2*(D79+D78)*9.81*B79 + J78, 0)</f>
        <v>0</v>
      </c>
      <c r="K79">
        <f>IF(ABS(E79-E78) &gt; $P$2, 1/2*(E79+E78)*9.81*B79 + K78, 0)</f>
        <v>0</v>
      </c>
      <c r="L79">
        <f>IF(ABS(F79-F78) &gt; $P$2, 1/2*(F79+F78)*9.81*B79 + L78, 0)</f>
        <v>0</v>
      </c>
      <c r="M79">
        <f t="shared" si="14"/>
        <v>0</v>
      </c>
      <c r="N79">
        <f t="shared" si="15"/>
        <v>0</v>
      </c>
      <c r="O79">
        <f t="shared" si="16"/>
        <v>0</v>
      </c>
      <c r="Q79">
        <v>32.090000000000003</v>
      </c>
      <c r="R79">
        <v>6.9859999999999998</v>
      </c>
      <c r="S79">
        <f t="shared" si="17"/>
        <v>0</v>
      </c>
      <c r="T79">
        <f>SQRT(O79*O79)*100</f>
        <v>0</v>
      </c>
    </row>
    <row r="80" spans="1:20" x14ac:dyDescent="0.3">
      <c r="A80">
        <v>9803280</v>
      </c>
      <c r="B80">
        <f t="shared" si="9"/>
        <v>9.0999999999999998E-2</v>
      </c>
      <c r="C80">
        <f t="shared" si="10"/>
        <v>7.077</v>
      </c>
      <c r="D80">
        <v>-0.68</v>
      </c>
      <c r="E80">
        <v>0.01</v>
      </c>
      <c r="F80">
        <v>-0.76</v>
      </c>
      <c r="G80">
        <f t="shared" si="11"/>
        <v>0</v>
      </c>
      <c r="H80">
        <f t="shared" si="12"/>
        <v>0</v>
      </c>
      <c r="I80">
        <f t="shared" si="13"/>
        <v>0</v>
      </c>
      <c r="J80">
        <f>IF(ABS(D80-D79) &gt; $P$2, 1/2*(D80+D79)*9.81*B80 + J79, 0)</f>
        <v>0</v>
      </c>
      <c r="K80">
        <f>IF(ABS(E80-E79) &gt; $P$2, 1/2*(E80+E79)*9.81*B80 + K79, 0)</f>
        <v>0</v>
      </c>
      <c r="L80">
        <f>IF(ABS(F80-F79) &gt; $P$2, 1/2*(F80+F79)*9.81*B80 + L79, 0)</f>
        <v>0</v>
      </c>
      <c r="M80">
        <f t="shared" si="14"/>
        <v>0</v>
      </c>
      <c r="N80">
        <f t="shared" si="15"/>
        <v>0</v>
      </c>
      <c r="O80">
        <f t="shared" si="16"/>
        <v>0</v>
      </c>
      <c r="Q80">
        <v>31.88</v>
      </c>
      <c r="R80">
        <v>7.077</v>
      </c>
      <c r="S80">
        <f t="shared" si="17"/>
        <v>-0.21000000000000441</v>
      </c>
      <c r="T80">
        <f>SQRT(O80*O80)*100</f>
        <v>0</v>
      </c>
    </row>
    <row r="81" spans="1:20" x14ac:dyDescent="0.3">
      <c r="A81">
        <v>9803371</v>
      </c>
      <c r="B81">
        <f t="shared" si="9"/>
        <v>9.0999999999999998E-2</v>
      </c>
      <c r="C81">
        <f t="shared" si="10"/>
        <v>7.1680000000000001</v>
      </c>
      <c r="D81">
        <v>-0.68</v>
      </c>
      <c r="E81">
        <v>0.01</v>
      </c>
      <c r="F81">
        <v>-0.75</v>
      </c>
      <c r="G81">
        <f t="shared" si="11"/>
        <v>0</v>
      </c>
      <c r="H81">
        <f t="shared" si="12"/>
        <v>0</v>
      </c>
      <c r="I81">
        <f t="shared" si="13"/>
        <v>1.0000000000000009E-2</v>
      </c>
      <c r="J81">
        <f>IF(ABS(D81-D80) &gt; $P$2, 1/2*(D81+D80)*9.81*B81 + J80, 0)</f>
        <v>0</v>
      </c>
      <c r="K81">
        <f>IF(ABS(E81-E80) &gt; $P$2, 1/2*(E81+E80)*9.81*B81 + K80, 0)</f>
        <v>0</v>
      </c>
      <c r="L81">
        <f>IF(ABS(F81-F80) &gt; $P$2, 1/2*(F81+F80)*9.81*B81 + L80, 0)</f>
        <v>0</v>
      </c>
      <c r="M81">
        <f t="shared" si="14"/>
        <v>0</v>
      </c>
      <c r="N81">
        <f t="shared" si="15"/>
        <v>0</v>
      </c>
      <c r="O81">
        <f t="shared" si="16"/>
        <v>0</v>
      </c>
      <c r="Q81">
        <v>32.299999999999997</v>
      </c>
      <c r="R81">
        <v>7.1680000000000001</v>
      </c>
      <c r="S81">
        <f t="shared" si="17"/>
        <v>0.20999999999999375</v>
      </c>
      <c r="T81">
        <f>SQRT(O81*O81)*100</f>
        <v>0</v>
      </c>
    </row>
    <row r="82" spans="1:20" x14ac:dyDescent="0.3">
      <c r="A82">
        <v>9803461</v>
      </c>
      <c r="B82">
        <f t="shared" si="9"/>
        <v>0.09</v>
      </c>
      <c r="C82">
        <f t="shared" si="10"/>
        <v>7.258</v>
      </c>
      <c r="D82">
        <v>-0.68</v>
      </c>
      <c r="E82">
        <v>0.02</v>
      </c>
      <c r="F82">
        <v>-0.76</v>
      </c>
      <c r="G82">
        <f t="shared" si="11"/>
        <v>0</v>
      </c>
      <c r="H82">
        <f t="shared" si="12"/>
        <v>0.01</v>
      </c>
      <c r="I82">
        <f t="shared" si="13"/>
        <v>1.0000000000000009E-2</v>
      </c>
      <c r="J82">
        <f>IF(ABS(D82-D81) &gt; $P$2, 1/2*(D82+D81)*9.81*B82 + J81, 0)</f>
        <v>0</v>
      </c>
      <c r="K82">
        <f>IF(ABS(E82-E81) &gt; $P$2, 1/2*(E82+E81)*9.81*B82 + K81, 0)</f>
        <v>0</v>
      </c>
      <c r="L82">
        <f>IF(ABS(F82-F81) &gt; $P$2, 1/2*(F82+F81)*9.81*B82 + L81, 0)</f>
        <v>0</v>
      </c>
      <c r="M82">
        <f t="shared" si="14"/>
        <v>0</v>
      </c>
      <c r="N82">
        <f t="shared" si="15"/>
        <v>0</v>
      </c>
      <c r="O82">
        <f t="shared" si="16"/>
        <v>0</v>
      </c>
      <c r="Q82">
        <v>31.88</v>
      </c>
      <c r="R82">
        <v>7.258</v>
      </c>
      <c r="S82">
        <f t="shared" si="17"/>
        <v>-0.21000000000000441</v>
      </c>
      <c r="T82">
        <f>SQRT(O82*O82)*100</f>
        <v>0</v>
      </c>
    </row>
    <row r="83" spans="1:20" x14ac:dyDescent="0.3">
      <c r="A83">
        <v>9803552</v>
      </c>
      <c r="B83">
        <f t="shared" si="9"/>
        <v>9.0999999999999998E-2</v>
      </c>
      <c r="C83">
        <f t="shared" si="10"/>
        <v>7.3490000000000002</v>
      </c>
      <c r="D83">
        <v>-0.68</v>
      </c>
      <c r="E83">
        <v>0.01</v>
      </c>
      <c r="F83">
        <v>-0.76</v>
      </c>
      <c r="G83">
        <f t="shared" si="11"/>
        <v>0</v>
      </c>
      <c r="H83">
        <f t="shared" si="12"/>
        <v>0.01</v>
      </c>
      <c r="I83">
        <f t="shared" si="13"/>
        <v>0</v>
      </c>
      <c r="J83">
        <f>IF(ABS(D83-D82) &gt; $P$2, 1/2*(D83+D82)*9.81*B83 + J82, 0)</f>
        <v>0</v>
      </c>
      <c r="K83">
        <f>IF(ABS(E83-E82) &gt; $P$2, 1/2*(E83+E82)*9.81*B83 + K82, 0)</f>
        <v>0</v>
      </c>
      <c r="L83">
        <f>IF(ABS(F83-F82) &gt; $P$2, 1/2*(F83+F82)*9.81*B83 + L82, 0)</f>
        <v>0</v>
      </c>
      <c r="M83">
        <f t="shared" si="14"/>
        <v>0</v>
      </c>
      <c r="N83">
        <f t="shared" si="15"/>
        <v>0</v>
      </c>
      <c r="O83">
        <f t="shared" si="16"/>
        <v>0</v>
      </c>
      <c r="Q83">
        <v>31.88</v>
      </c>
      <c r="R83">
        <v>7.3490000000000002</v>
      </c>
      <c r="S83">
        <f t="shared" si="17"/>
        <v>-0.21000000000000441</v>
      </c>
      <c r="T83">
        <f>SQRT(O83*O83)*100</f>
        <v>0</v>
      </c>
    </row>
    <row r="84" spans="1:20" x14ac:dyDescent="0.3">
      <c r="A84">
        <v>9803642</v>
      </c>
      <c r="B84">
        <f t="shared" si="9"/>
        <v>0.09</v>
      </c>
      <c r="C84">
        <f t="shared" si="10"/>
        <v>7.4390000000000001</v>
      </c>
      <c r="D84">
        <v>-0.68</v>
      </c>
      <c r="E84">
        <v>0.01</v>
      </c>
      <c r="F84">
        <v>-0.76</v>
      </c>
      <c r="G84">
        <f t="shared" si="11"/>
        <v>0</v>
      </c>
      <c r="H84">
        <f t="shared" si="12"/>
        <v>0</v>
      </c>
      <c r="I84">
        <f t="shared" si="13"/>
        <v>0</v>
      </c>
      <c r="J84">
        <f>IF(ABS(D84-D83) &gt; $P$2, 1/2*(D84+D83)*9.81*B84 + J83, 0)</f>
        <v>0</v>
      </c>
      <c r="K84">
        <f>IF(ABS(E84-E83) &gt; $P$2, 1/2*(E84+E83)*9.81*B84 + K83, 0)</f>
        <v>0</v>
      </c>
      <c r="L84">
        <f>IF(ABS(F84-F83) &gt; $P$2, 1/2*(F84+F83)*9.81*B84 + L83, 0)</f>
        <v>0</v>
      </c>
      <c r="M84">
        <f t="shared" si="14"/>
        <v>0</v>
      </c>
      <c r="N84">
        <f t="shared" si="15"/>
        <v>0</v>
      </c>
      <c r="O84">
        <f t="shared" si="16"/>
        <v>0</v>
      </c>
      <c r="Q84">
        <v>32.5</v>
      </c>
      <c r="R84">
        <v>7.4390000000000001</v>
      </c>
      <c r="S84">
        <f t="shared" si="17"/>
        <v>0.40999999999999659</v>
      </c>
      <c r="T84">
        <f>SQRT(O84*O84)*100</f>
        <v>0</v>
      </c>
    </row>
    <row r="85" spans="1:20" x14ac:dyDescent="0.3">
      <c r="A85">
        <v>9803734</v>
      </c>
      <c r="B85">
        <f t="shared" si="9"/>
        <v>9.1999999999999998E-2</v>
      </c>
      <c r="C85">
        <f t="shared" si="10"/>
        <v>7.5309999999999997</v>
      </c>
      <c r="D85">
        <v>-0.68</v>
      </c>
      <c r="E85">
        <v>0.01</v>
      </c>
      <c r="F85">
        <v>-0.76</v>
      </c>
      <c r="G85">
        <f t="shared" si="11"/>
        <v>0</v>
      </c>
      <c r="H85">
        <f t="shared" si="12"/>
        <v>0</v>
      </c>
      <c r="I85">
        <f t="shared" si="13"/>
        <v>0</v>
      </c>
      <c r="J85">
        <f>IF(ABS(D85-D84) &gt; $P$2, 1/2*(D85+D84)*9.81*B85 + J84, 0)</f>
        <v>0</v>
      </c>
      <c r="K85">
        <f>IF(ABS(E85-E84) &gt; $P$2, 1/2*(E85+E84)*9.81*B85 + K84, 0)</f>
        <v>0</v>
      </c>
      <c r="L85">
        <f>IF(ABS(F85-F84) &gt; $P$2, 1/2*(F85+F84)*9.81*B85 + L84, 0)</f>
        <v>0</v>
      </c>
      <c r="M85">
        <f t="shared" si="14"/>
        <v>0</v>
      </c>
      <c r="N85">
        <f t="shared" si="15"/>
        <v>0</v>
      </c>
      <c r="O85">
        <f t="shared" si="16"/>
        <v>0</v>
      </c>
      <c r="Q85">
        <v>31.88</v>
      </c>
      <c r="R85">
        <v>7.5309999999999997</v>
      </c>
      <c r="S85">
        <f t="shared" si="17"/>
        <v>-0.21000000000000441</v>
      </c>
      <c r="T85">
        <f>SQRT(O85*O85)*100</f>
        <v>0</v>
      </c>
    </row>
    <row r="86" spans="1:20" x14ac:dyDescent="0.3">
      <c r="A86">
        <v>9803825</v>
      </c>
      <c r="B86">
        <f t="shared" si="9"/>
        <v>9.0999999999999998E-2</v>
      </c>
      <c r="C86">
        <f t="shared" si="10"/>
        <v>7.6219999999999999</v>
      </c>
      <c r="D86">
        <v>-0.68</v>
      </c>
      <c r="E86">
        <v>0.01</v>
      </c>
      <c r="F86">
        <v>-0.76</v>
      </c>
      <c r="G86">
        <f t="shared" si="11"/>
        <v>0</v>
      </c>
      <c r="H86">
        <f t="shared" si="12"/>
        <v>0</v>
      </c>
      <c r="I86">
        <f t="shared" si="13"/>
        <v>0</v>
      </c>
      <c r="J86">
        <f>IF(ABS(D86-D85) &gt; $P$2, 1/2*(D86+D85)*9.81*B86 + J85, 0)</f>
        <v>0</v>
      </c>
      <c r="K86">
        <f>IF(ABS(E86-E85) &gt; $P$2, 1/2*(E86+E85)*9.81*B86 + K85, 0)</f>
        <v>0</v>
      </c>
      <c r="L86">
        <f>IF(ABS(F86-F85) &gt; $P$2, 1/2*(F86+F85)*9.81*B86 + L85, 0)</f>
        <v>0</v>
      </c>
      <c r="M86">
        <f t="shared" si="14"/>
        <v>0</v>
      </c>
      <c r="N86">
        <f t="shared" si="15"/>
        <v>0</v>
      </c>
      <c r="O86">
        <f t="shared" si="16"/>
        <v>0</v>
      </c>
      <c r="Q86">
        <v>32.090000000000003</v>
      </c>
      <c r="R86">
        <v>7.6219999999999999</v>
      </c>
      <c r="S86">
        <f t="shared" si="17"/>
        <v>0</v>
      </c>
      <c r="T86">
        <f>SQRT(O86*O86)*100</f>
        <v>0</v>
      </c>
    </row>
    <row r="87" spans="1:20" x14ac:dyDescent="0.3">
      <c r="A87">
        <v>9803915</v>
      </c>
      <c r="B87">
        <f t="shared" si="9"/>
        <v>0.09</v>
      </c>
      <c r="C87">
        <f t="shared" si="10"/>
        <v>7.7119999999999997</v>
      </c>
      <c r="D87">
        <v>-0.68</v>
      </c>
      <c r="E87">
        <v>0.01</v>
      </c>
      <c r="F87">
        <v>-0.76</v>
      </c>
      <c r="G87">
        <f t="shared" si="11"/>
        <v>0</v>
      </c>
      <c r="H87">
        <f t="shared" si="12"/>
        <v>0</v>
      </c>
      <c r="I87">
        <f t="shared" si="13"/>
        <v>0</v>
      </c>
      <c r="J87">
        <f>IF(ABS(D87-D86) &gt; $P$2, 1/2*(D87+D86)*9.81*B87 + J86, 0)</f>
        <v>0</v>
      </c>
      <c r="K87">
        <f>IF(ABS(E87-E86) &gt; $P$2, 1/2*(E87+E86)*9.81*B87 + K86, 0)</f>
        <v>0</v>
      </c>
      <c r="L87">
        <f>IF(ABS(F87-F86) &gt; $P$2, 1/2*(F87+F86)*9.81*B87 + L86, 0)</f>
        <v>0</v>
      </c>
      <c r="M87">
        <f t="shared" si="14"/>
        <v>0</v>
      </c>
      <c r="N87">
        <f t="shared" si="15"/>
        <v>0</v>
      </c>
      <c r="O87">
        <f t="shared" si="16"/>
        <v>0</v>
      </c>
      <c r="Q87">
        <v>32.299999999999997</v>
      </c>
      <c r="R87">
        <v>7.7119999999999997</v>
      </c>
      <c r="S87">
        <f t="shared" si="17"/>
        <v>0.20999999999999375</v>
      </c>
      <c r="T87">
        <f>SQRT(O87*O87)*100</f>
        <v>0</v>
      </c>
    </row>
    <row r="88" spans="1:20" x14ac:dyDescent="0.3">
      <c r="A88">
        <v>9804006</v>
      </c>
      <c r="B88">
        <f t="shared" si="9"/>
        <v>9.0999999999999998E-2</v>
      </c>
      <c r="C88">
        <f t="shared" si="10"/>
        <v>7.8029999999999999</v>
      </c>
      <c r="D88">
        <v>-0.68</v>
      </c>
      <c r="E88">
        <v>0.01</v>
      </c>
      <c r="F88">
        <v>-0.76</v>
      </c>
      <c r="G88">
        <f t="shared" si="11"/>
        <v>0</v>
      </c>
      <c r="H88">
        <f t="shared" si="12"/>
        <v>0</v>
      </c>
      <c r="I88">
        <f t="shared" si="13"/>
        <v>0</v>
      </c>
      <c r="J88">
        <f>IF(ABS(D88-D87) &gt; $P$2, 1/2*(D88+D87)*9.81*B88 + J87, 0)</f>
        <v>0</v>
      </c>
      <c r="K88">
        <f>IF(ABS(E88-E87) &gt; $P$2, 1/2*(E88+E87)*9.81*B88 + K87, 0)</f>
        <v>0</v>
      </c>
      <c r="L88">
        <f>IF(ABS(F88-F87) &gt; $P$2, 1/2*(F88+F87)*9.81*B88 + L87, 0)</f>
        <v>0</v>
      </c>
      <c r="M88">
        <f t="shared" si="14"/>
        <v>0</v>
      </c>
      <c r="N88">
        <f t="shared" si="15"/>
        <v>0</v>
      </c>
      <c r="O88">
        <f t="shared" si="16"/>
        <v>0</v>
      </c>
      <c r="Q88">
        <v>32.299999999999997</v>
      </c>
      <c r="R88">
        <v>7.8029999999999999</v>
      </c>
      <c r="S88">
        <f t="shared" si="17"/>
        <v>0.20999999999999375</v>
      </c>
      <c r="T88">
        <f>SQRT(O88*O88)*100</f>
        <v>0</v>
      </c>
    </row>
    <row r="89" spans="1:20" x14ac:dyDescent="0.3">
      <c r="A89">
        <v>9804096</v>
      </c>
      <c r="B89">
        <f t="shared" si="9"/>
        <v>0.09</v>
      </c>
      <c r="C89">
        <f t="shared" si="10"/>
        <v>7.8929999999999998</v>
      </c>
      <c r="D89">
        <v>-0.68</v>
      </c>
      <c r="E89">
        <v>0</v>
      </c>
      <c r="F89">
        <v>-0.76</v>
      </c>
      <c r="G89">
        <f t="shared" si="11"/>
        <v>0</v>
      </c>
      <c r="H89">
        <f t="shared" si="12"/>
        <v>0.01</v>
      </c>
      <c r="I89">
        <f t="shared" si="13"/>
        <v>0</v>
      </c>
      <c r="J89">
        <f>IF(ABS(D89-D88) &gt; $P$2, 1/2*(D89+D88)*9.81*B89 + J88, 0)</f>
        <v>0</v>
      </c>
      <c r="K89">
        <f>IF(ABS(E89-E88) &gt; $P$2, 1/2*(E89+E88)*9.81*B89 + K88, 0)</f>
        <v>0</v>
      </c>
      <c r="L89">
        <f>IF(ABS(F89-F88) &gt; $P$2, 1/2*(F89+F88)*9.81*B89 + L88, 0)</f>
        <v>0</v>
      </c>
      <c r="M89">
        <f t="shared" si="14"/>
        <v>0</v>
      </c>
      <c r="N89">
        <f t="shared" si="15"/>
        <v>0</v>
      </c>
      <c r="O89">
        <f t="shared" si="16"/>
        <v>0</v>
      </c>
      <c r="Q89">
        <v>32.299999999999997</v>
      </c>
      <c r="R89">
        <v>7.8929999999999998</v>
      </c>
      <c r="S89">
        <f t="shared" si="17"/>
        <v>0.20999999999999375</v>
      </c>
      <c r="T89">
        <f>SQRT(O89*O89)*100</f>
        <v>0</v>
      </c>
    </row>
    <row r="90" spans="1:20" x14ac:dyDescent="0.3">
      <c r="A90">
        <v>9804187</v>
      </c>
      <c r="B90">
        <f t="shared" si="9"/>
        <v>9.0999999999999998E-2</v>
      </c>
      <c r="C90">
        <f t="shared" si="10"/>
        <v>7.984</v>
      </c>
      <c r="D90">
        <v>-0.68</v>
      </c>
      <c r="E90">
        <v>0.01</v>
      </c>
      <c r="F90">
        <v>-0.76</v>
      </c>
      <c r="G90">
        <f t="shared" si="11"/>
        <v>0</v>
      </c>
      <c r="H90">
        <f t="shared" si="12"/>
        <v>0.01</v>
      </c>
      <c r="I90">
        <f t="shared" si="13"/>
        <v>0</v>
      </c>
      <c r="J90">
        <f>IF(ABS(D90-D89) &gt; $P$2, 1/2*(D90+D89)*9.81*B90 + J89, 0)</f>
        <v>0</v>
      </c>
      <c r="K90">
        <f>IF(ABS(E90-E89) &gt; $P$2, 1/2*(E90+E89)*9.81*B90 + K89, 0)</f>
        <v>0</v>
      </c>
      <c r="L90">
        <f>IF(ABS(F90-F89) &gt; $P$2, 1/2*(F90+F89)*9.81*B90 + L89, 0)</f>
        <v>0</v>
      </c>
      <c r="M90">
        <f t="shared" si="14"/>
        <v>0</v>
      </c>
      <c r="N90">
        <f t="shared" si="15"/>
        <v>0</v>
      </c>
      <c r="O90">
        <f t="shared" si="16"/>
        <v>0</v>
      </c>
      <c r="Q90">
        <v>32.090000000000003</v>
      </c>
      <c r="R90">
        <v>7.984</v>
      </c>
      <c r="S90">
        <f t="shared" si="17"/>
        <v>0</v>
      </c>
      <c r="T90">
        <f>SQRT(O90*O90)*100</f>
        <v>0</v>
      </c>
    </row>
    <row r="91" spans="1:20" x14ac:dyDescent="0.3">
      <c r="A91">
        <v>9804278</v>
      </c>
      <c r="B91">
        <f t="shared" si="9"/>
        <v>9.0999999999999998E-2</v>
      </c>
      <c r="C91">
        <f t="shared" si="10"/>
        <v>8.0749999999999993</v>
      </c>
      <c r="D91">
        <v>-0.68</v>
      </c>
      <c r="E91">
        <v>0.01</v>
      </c>
      <c r="F91">
        <v>-0.75</v>
      </c>
      <c r="G91">
        <f t="shared" si="11"/>
        <v>0</v>
      </c>
      <c r="H91">
        <f t="shared" si="12"/>
        <v>0</v>
      </c>
      <c r="I91">
        <f t="shared" si="13"/>
        <v>1.0000000000000009E-2</v>
      </c>
      <c r="J91">
        <f>IF(ABS(D91-D90) &gt; $P$2, 1/2*(D91+D90)*9.81*B91 + J90, 0)</f>
        <v>0</v>
      </c>
      <c r="K91">
        <f>IF(ABS(E91-E90) &gt; $P$2, 1/2*(E91+E90)*9.81*B91 + K90, 0)</f>
        <v>0</v>
      </c>
      <c r="L91">
        <f>IF(ABS(F91-F90) &gt; $P$2, 1/2*(F91+F90)*9.81*B91 + L90, 0)</f>
        <v>0</v>
      </c>
      <c r="M91">
        <f t="shared" si="14"/>
        <v>0</v>
      </c>
      <c r="N91">
        <f t="shared" si="15"/>
        <v>0</v>
      </c>
      <c r="O91">
        <f t="shared" si="16"/>
        <v>0</v>
      </c>
      <c r="Q91">
        <v>32.090000000000003</v>
      </c>
      <c r="R91">
        <v>8.0749999999999993</v>
      </c>
      <c r="S91">
        <f t="shared" si="17"/>
        <v>0</v>
      </c>
      <c r="T91">
        <f>SQRT(O91*O91)*100</f>
        <v>0</v>
      </c>
    </row>
    <row r="92" spans="1:20" x14ac:dyDescent="0.3">
      <c r="A92">
        <v>9804368</v>
      </c>
      <c r="B92">
        <f t="shared" si="9"/>
        <v>0.09</v>
      </c>
      <c r="C92">
        <f t="shared" si="10"/>
        <v>8.1649999999999991</v>
      </c>
      <c r="D92">
        <v>-0.68</v>
      </c>
      <c r="E92">
        <v>0.01</v>
      </c>
      <c r="F92">
        <v>-0.76</v>
      </c>
      <c r="G92">
        <f t="shared" si="11"/>
        <v>0</v>
      </c>
      <c r="H92">
        <f t="shared" si="12"/>
        <v>0</v>
      </c>
      <c r="I92">
        <f t="shared" si="13"/>
        <v>1.0000000000000009E-2</v>
      </c>
      <c r="J92">
        <f>IF(ABS(D92-D91) &gt; $P$2, 1/2*(D92+D91)*9.81*B92 + J91, 0)</f>
        <v>0</v>
      </c>
      <c r="K92">
        <f>IF(ABS(E92-E91) &gt; $P$2, 1/2*(E92+E91)*9.81*B92 + K91, 0)</f>
        <v>0</v>
      </c>
      <c r="L92">
        <f>IF(ABS(F92-F91) &gt; $P$2, 1/2*(F92+F91)*9.81*B92 + L91, 0)</f>
        <v>0</v>
      </c>
      <c r="M92">
        <f t="shared" si="14"/>
        <v>0</v>
      </c>
      <c r="N92">
        <f t="shared" si="15"/>
        <v>0</v>
      </c>
      <c r="O92">
        <f t="shared" si="16"/>
        <v>0</v>
      </c>
      <c r="Q92">
        <v>32.5</v>
      </c>
      <c r="R92">
        <v>8.1649999999999991</v>
      </c>
      <c r="S92">
        <f t="shared" si="17"/>
        <v>0.40999999999999659</v>
      </c>
      <c r="T92">
        <f>SQRT(O92*O92)*100</f>
        <v>0</v>
      </c>
    </row>
    <row r="93" spans="1:20" x14ac:dyDescent="0.3">
      <c r="A93">
        <v>9804460</v>
      </c>
      <c r="B93">
        <f t="shared" si="9"/>
        <v>9.1999999999999998E-2</v>
      </c>
      <c r="C93">
        <f t="shared" si="10"/>
        <v>8.2569999999999997</v>
      </c>
      <c r="D93">
        <v>-0.68</v>
      </c>
      <c r="E93">
        <v>0.01</v>
      </c>
      <c r="F93">
        <v>-0.77</v>
      </c>
      <c r="G93">
        <f t="shared" si="11"/>
        <v>0</v>
      </c>
      <c r="H93">
        <f t="shared" si="12"/>
        <v>0</v>
      </c>
      <c r="I93">
        <f t="shared" si="13"/>
        <v>1.0000000000000009E-2</v>
      </c>
      <c r="J93">
        <f>IF(ABS(D93-D92) &gt; $P$2, 1/2*(D93+D92)*9.81*B93 + J92, 0)</f>
        <v>0</v>
      </c>
      <c r="K93">
        <f>IF(ABS(E93-E92) &gt; $P$2, 1/2*(E93+E92)*9.81*B93 + K92, 0)</f>
        <v>0</v>
      </c>
      <c r="L93">
        <f>IF(ABS(F93-F92) &gt; $P$2, 1/2*(F93+F92)*9.81*B93 + L92, 0)</f>
        <v>0</v>
      </c>
      <c r="M93">
        <f t="shared" si="14"/>
        <v>0</v>
      </c>
      <c r="N93">
        <f t="shared" si="15"/>
        <v>0</v>
      </c>
      <c r="O93">
        <f t="shared" si="16"/>
        <v>0</v>
      </c>
      <c r="Q93">
        <v>32.090000000000003</v>
      </c>
      <c r="R93">
        <v>8.2569999999999997</v>
      </c>
      <c r="S93">
        <f t="shared" si="17"/>
        <v>0</v>
      </c>
      <c r="T93">
        <f>SQRT(O93*O93)*100</f>
        <v>0</v>
      </c>
    </row>
    <row r="94" spans="1:20" x14ac:dyDescent="0.3">
      <c r="A94">
        <v>9804550</v>
      </c>
      <c r="B94">
        <f t="shared" si="9"/>
        <v>0.09</v>
      </c>
      <c r="C94">
        <f t="shared" si="10"/>
        <v>8.3469999999999995</v>
      </c>
      <c r="D94">
        <v>-0.68</v>
      </c>
      <c r="E94">
        <v>0.01</v>
      </c>
      <c r="F94">
        <v>-0.76</v>
      </c>
      <c r="G94">
        <f t="shared" si="11"/>
        <v>0</v>
      </c>
      <c r="H94">
        <f t="shared" si="12"/>
        <v>0</v>
      </c>
      <c r="I94">
        <f t="shared" si="13"/>
        <v>1.0000000000000009E-2</v>
      </c>
      <c r="J94">
        <f>IF(ABS(D94-D93) &gt; $P$2, 1/2*(D94+D93)*9.81*B94 + J93, 0)</f>
        <v>0</v>
      </c>
      <c r="K94">
        <f>IF(ABS(E94-E93) &gt; $P$2, 1/2*(E94+E93)*9.81*B94 + K93, 0)</f>
        <v>0</v>
      </c>
      <c r="L94">
        <f>IF(ABS(F94-F93) &gt; $P$2, 1/2*(F94+F93)*9.81*B94 + L93, 0)</f>
        <v>0</v>
      </c>
      <c r="M94">
        <f t="shared" si="14"/>
        <v>0</v>
      </c>
      <c r="N94">
        <f t="shared" si="15"/>
        <v>0</v>
      </c>
      <c r="O94">
        <f t="shared" si="16"/>
        <v>0</v>
      </c>
      <c r="Q94">
        <v>32.090000000000003</v>
      </c>
      <c r="R94">
        <v>8.3469999999999995</v>
      </c>
      <c r="S94">
        <f t="shared" si="17"/>
        <v>0</v>
      </c>
      <c r="T94">
        <f>SQRT(O94*O94)*100</f>
        <v>0</v>
      </c>
    </row>
    <row r="95" spans="1:20" x14ac:dyDescent="0.3">
      <c r="A95">
        <v>9804641</v>
      </c>
      <c r="B95">
        <f t="shared" si="9"/>
        <v>9.0999999999999998E-2</v>
      </c>
      <c r="C95">
        <f t="shared" si="10"/>
        <v>8.4380000000000006</v>
      </c>
      <c r="D95">
        <v>-0.69</v>
      </c>
      <c r="E95">
        <v>0.01</v>
      </c>
      <c r="F95">
        <v>-0.75</v>
      </c>
      <c r="G95">
        <f t="shared" si="11"/>
        <v>9.9999999999998979E-3</v>
      </c>
      <c r="H95">
        <f t="shared" si="12"/>
        <v>0</v>
      </c>
      <c r="I95">
        <f t="shared" si="13"/>
        <v>1.0000000000000009E-2</v>
      </c>
      <c r="J95">
        <f>IF(ABS(D95-D94) &gt; $P$2, 1/2*(D95+D94)*9.81*B95 + J94, 0)</f>
        <v>0</v>
      </c>
      <c r="K95">
        <f>IF(ABS(E95-E94) &gt; $P$2, 1/2*(E95+E94)*9.81*B95 + K94, 0)</f>
        <v>0</v>
      </c>
      <c r="L95">
        <f>IF(ABS(F95-F94) &gt; $P$2, 1/2*(F95+F94)*9.81*B95 + L94, 0)</f>
        <v>0</v>
      </c>
      <c r="M95">
        <f t="shared" si="14"/>
        <v>0</v>
      </c>
      <c r="N95">
        <f t="shared" si="15"/>
        <v>0</v>
      </c>
      <c r="O95">
        <f t="shared" si="16"/>
        <v>0</v>
      </c>
      <c r="Q95">
        <v>32.090000000000003</v>
      </c>
      <c r="R95">
        <v>8.4380000000000006</v>
      </c>
      <c r="S95">
        <f t="shared" si="17"/>
        <v>0</v>
      </c>
      <c r="T95">
        <f>SQRT(O95*O95)*100</f>
        <v>0</v>
      </c>
    </row>
    <row r="96" spans="1:20" x14ac:dyDescent="0.3">
      <c r="A96">
        <v>9804732</v>
      </c>
      <c r="B96">
        <f t="shared" si="9"/>
        <v>9.0999999999999998E-2</v>
      </c>
      <c r="C96">
        <f t="shared" si="10"/>
        <v>8.5289999999999999</v>
      </c>
      <c r="D96">
        <v>-0.68</v>
      </c>
      <c r="E96">
        <v>0.01</v>
      </c>
      <c r="F96" s="3">
        <v>-0.78</v>
      </c>
      <c r="G96">
        <f t="shared" si="11"/>
        <v>9.9999999999998979E-3</v>
      </c>
      <c r="H96">
        <f t="shared" si="12"/>
        <v>0</v>
      </c>
      <c r="I96">
        <f t="shared" si="13"/>
        <v>3.0000000000000027E-2</v>
      </c>
      <c r="J96">
        <f>IF(ABS(D96-D95) &gt; $P$2, 1/2*(D96+D95)*9.81*B96 + J95, 0)</f>
        <v>0</v>
      </c>
      <c r="K96">
        <f>IF(ABS(E96-E95) &gt; $P$2, 1/2*(E96+E95)*9.81*B96 + K95, 0)</f>
        <v>0</v>
      </c>
      <c r="L96">
        <f>IF(ABS(F96-F95) &gt; $P$2, 1/2*(F96+F95)*9.81*B96 + L95, 0)</f>
        <v>-0.68292315000000003</v>
      </c>
      <c r="M96">
        <f t="shared" si="14"/>
        <v>0</v>
      </c>
      <c r="N96">
        <f t="shared" si="15"/>
        <v>0</v>
      </c>
      <c r="O96">
        <f t="shared" si="16"/>
        <v>-3.1073003325000001E-2</v>
      </c>
      <c r="Q96">
        <v>32.299999999999997</v>
      </c>
      <c r="R96">
        <v>8.5289999999999999</v>
      </c>
      <c r="S96">
        <f t="shared" si="17"/>
        <v>0.20999999999999375</v>
      </c>
      <c r="T96">
        <f>SQRT(O96*O96)*100</f>
        <v>3.1073003324999999</v>
      </c>
    </row>
    <row r="97" spans="1:20" x14ac:dyDescent="0.3">
      <c r="A97">
        <v>9804822</v>
      </c>
      <c r="B97">
        <f t="shared" si="9"/>
        <v>0.09</v>
      </c>
      <c r="C97">
        <f t="shared" si="10"/>
        <v>8.6189999999999998</v>
      </c>
      <c r="D97">
        <v>-0.68</v>
      </c>
      <c r="E97">
        <v>0.01</v>
      </c>
      <c r="F97">
        <v>-0.76</v>
      </c>
      <c r="G97">
        <f t="shared" si="11"/>
        <v>0</v>
      </c>
      <c r="H97">
        <f t="shared" si="12"/>
        <v>0</v>
      </c>
      <c r="I97">
        <f t="shared" si="13"/>
        <v>2.0000000000000018E-2</v>
      </c>
      <c r="J97">
        <f>IF(ABS(D97-D96) &gt; $P$2, 1/2*(D97+D96)*9.81*B97 + J96, 0)</f>
        <v>0</v>
      </c>
      <c r="K97">
        <f>IF(ABS(E97-E96) &gt; $P$2, 1/2*(E97+E96)*9.81*B97 + K96, 0)</f>
        <v>0</v>
      </c>
      <c r="L97">
        <f>IF(ABS(F97-F96) &gt; $P$2, 1/2*(F97+F96)*9.81*B97 + L96, 0)</f>
        <v>0</v>
      </c>
      <c r="M97">
        <f t="shared" si="14"/>
        <v>0</v>
      </c>
      <c r="N97">
        <f t="shared" si="15"/>
        <v>0</v>
      </c>
      <c r="O97">
        <f t="shared" si="16"/>
        <v>-6.1804545075000002E-2</v>
      </c>
      <c r="Q97">
        <v>32.299999999999997</v>
      </c>
      <c r="R97">
        <v>8.6189999999999998</v>
      </c>
      <c r="S97">
        <f t="shared" si="17"/>
        <v>0.20999999999999375</v>
      </c>
      <c r="T97">
        <f>SQRT(O97*O97)*100</f>
        <v>6.1804545075000004</v>
      </c>
    </row>
    <row r="98" spans="1:20" x14ac:dyDescent="0.3">
      <c r="A98">
        <v>9804913</v>
      </c>
      <c r="B98">
        <f t="shared" si="9"/>
        <v>9.0999999999999998E-2</v>
      </c>
      <c r="C98">
        <f t="shared" si="10"/>
        <v>8.7100000000000009</v>
      </c>
      <c r="D98">
        <v>-0.68</v>
      </c>
      <c r="E98">
        <v>0.01</v>
      </c>
      <c r="F98">
        <v>-0.76</v>
      </c>
      <c r="G98">
        <f t="shared" si="11"/>
        <v>0</v>
      </c>
      <c r="H98">
        <f t="shared" si="12"/>
        <v>0</v>
      </c>
      <c r="I98">
        <f t="shared" si="13"/>
        <v>0</v>
      </c>
      <c r="J98">
        <f>IF(ABS(D98-D97) &gt; $P$2, 1/2*(D98+D97)*9.81*B98 + J97, 0)</f>
        <v>0</v>
      </c>
      <c r="K98">
        <f>IF(ABS(E98-E97) &gt; $P$2, 1/2*(E98+E97)*9.81*B98 + K97, 0)</f>
        <v>0</v>
      </c>
      <c r="L98">
        <f>IF(ABS(F98-F97) &gt; $P$2, 1/2*(F98+F97)*9.81*B98 + L97, 0)</f>
        <v>0</v>
      </c>
      <c r="M98">
        <f t="shared" si="14"/>
        <v>0</v>
      </c>
      <c r="N98">
        <f t="shared" si="15"/>
        <v>0</v>
      </c>
      <c r="O98">
        <f t="shared" si="16"/>
        <v>-6.1804545075000002E-2</v>
      </c>
      <c r="Q98">
        <v>32.5</v>
      </c>
      <c r="R98">
        <v>8.7100000000000009</v>
      </c>
      <c r="S98">
        <f t="shared" si="17"/>
        <v>0.40999999999999659</v>
      </c>
      <c r="T98">
        <f>SQRT(O98*O98)*100</f>
        <v>6.1804545075000004</v>
      </c>
    </row>
    <row r="99" spans="1:20" x14ac:dyDescent="0.3">
      <c r="A99">
        <v>9805003</v>
      </c>
      <c r="B99">
        <f t="shared" si="9"/>
        <v>0.09</v>
      </c>
      <c r="C99">
        <f t="shared" si="10"/>
        <v>8.8000000000000007</v>
      </c>
      <c r="D99">
        <v>-0.68</v>
      </c>
      <c r="E99">
        <v>0.01</v>
      </c>
      <c r="F99">
        <v>-0.75</v>
      </c>
      <c r="G99">
        <f t="shared" si="11"/>
        <v>0</v>
      </c>
      <c r="H99">
        <f t="shared" si="12"/>
        <v>0</v>
      </c>
      <c r="I99">
        <f t="shared" si="13"/>
        <v>1.0000000000000009E-2</v>
      </c>
      <c r="J99">
        <f>IF(ABS(D99-D98) &gt; $P$2, 1/2*(D99+D98)*9.81*B99 + J98, 0)</f>
        <v>0</v>
      </c>
      <c r="K99">
        <f>IF(ABS(E99-E98) &gt; $P$2, 1/2*(E99+E98)*9.81*B99 + K98, 0)</f>
        <v>0</v>
      </c>
      <c r="L99">
        <f>IF(ABS(F99-F98) &gt; $P$2, 1/2*(F99+F98)*9.81*B99 + L98, 0)</f>
        <v>0</v>
      </c>
      <c r="M99">
        <f t="shared" si="14"/>
        <v>0</v>
      </c>
      <c r="N99">
        <f t="shared" si="15"/>
        <v>0</v>
      </c>
      <c r="O99">
        <f t="shared" si="16"/>
        <v>-6.1804545075000002E-2</v>
      </c>
      <c r="Q99">
        <v>32.5</v>
      </c>
      <c r="R99">
        <v>8.8000000000000007</v>
      </c>
      <c r="S99">
        <f t="shared" si="17"/>
        <v>0.40999999999999659</v>
      </c>
      <c r="T99">
        <f>SQRT(O99*O99)*100</f>
        <v>6.1804545075000004</v>
      </c>
    </row>
    <row r="100" spans="1:20" x14ac:dyDescent="0.3">
      <c r="A100">
        <v>9805094</v>
      </c>
      <c r="B100">
        <f t="shared" si="9"/>
        <v>9.0999999999999998E-2</v>
      </c>
      <c r="C100">
        <f t="shared" si="10"/>
        <v>8.891</v>
      </c>
      <c r="D100">
        <v>-0.68</v>
      </c>
      <c r="E100">
        <v>0.01</v>
      </c>
      <c r="F100">
        <v>-0.76</v>
      </c>
      <c r="G100">
        <f t="shared" si="11"/>
        <v>0</v>
      </c>
      <c r="H100">
        <f t="shared" si="12"/>
        <v>0</v>
      </c>
      <c r="I100">
        <f t="shared" si="13"/>
        <v>1.0000000000000009E-2</v>
      </c>
      <c r="J100">
        <f>IF(ABS(D100-D99) &gt; $P$2, 1/2*(D100+D99)*9.81*B100 + J99, 0)</f>
        <v>0</v>
      </c>
      <c r="K100">
        <f>IF(ABS(E100-E99) &gt; $P$2, 1/2*(E100+E99)*9.81*B100 + K99, 0)</f>
        <v>0</v>
      </c>
      <c r="L100">
        <f>IF(ABS(F100-F99) &gt; $P$2, 1/2*(F100+F99)*9.81*B100 + L99, 0)</f>
        <v>0</v>
      </c>
      <c r="M100">
        <f t="shared" si="14"/>
        <v>0</v>
      </c>
      <c r="N100">
        <f t="shared" si="15"/>
        <v>0</v>
      </c>
      <c r="O100">
        <f t="shared" si="16"/>
        <v>-6.1804545075000002E-2</v>
      </c>
      <c r="Q100">
        <v>32.299999999999997</v>
      </c>
      <c r="R100">
        <v>8.891</v>
      </c>
      <c r="S100">
        <f t="shared" si="17"/>
        <v>0.20999999999999375</v>
      </c>
      <c r="T100">
        <f>SQRT(O100*O100)*100</f>
        <v>6.1804545075000004</v>
      </c>
    </row>
    <row r="101" spans="1:20" x14ac:dyDescent="0.3">
      <c r="A101">
        <v>9805186</v>
      </c>
      <c r="B101">
        <f t="shared" si="9"/>
        <v>9.1999999999999998E-2</v>
      </c>
      <c r="C101">
        <f t="shared" si="10"/>
        <v>8.9830000000000005</v>
      </c>
      <c r="D101">
        <v>-0.68</v>
      </c>
      <c r="E101">
        <v>0.01</v>
      </c>
      <c r="F101">
        <v>-0.75</v>
      </c>
      <c r="G101">
        <f t="shared" si="11"/>
        <v>0</v>
      </c>
      <c r="H101">
        <f t="shared" si="12"/>
        <v>0</v>
      </c>
      <c r="I101">
        <f t="shared" si="13"/>
        <v>1.0000000000000009E-2</v>
      </c>
      <c r="J101">
        <f>IF(ABS(D101-D100) &gt; $P$2, 1/2*(D101+D100)*9.81*B101 + J100, 0)</f>
        <v>0</v>
      </c>
      <c r="K101">
        <f>IF(ABS(E101-E100) &gt; $P$2, 1/2*(E101+E100)*9.81*B101 + K100, 0)</f>
        <v>0</v>
      </c>
      <c r="L101">
        <f>IF(ABS(F101-F100) &gt; $P$2, 1/2*(F101+F100)*9.81*B101 + L100, 0)</f>
        <v>0</v>
      </c>
      <c r="M101">
        <f t="shared" si="14"/>
        <v>0</v>
      </c>
      <c r="N101">
        <f t="shared" si="15"/>
        <v>0</v>
      </c>
      <c r="O101">
        <f t="shared" si="16"/>
        <v>-6.1804545075000002E-2</v>
      </c>
      <c r="Q101">
        <v>32.090000000000003</v>
      </c>
      <c r="R101">
        <v>8.9830000000000005</v>
      </c>
      <c r="S101">
        <f t="shared" si="17"/>
        <v>0</v>
      </c>
      <c r="T101">
        <f>SQRT(O101*O101)*100</f>
        <v>6.1804545075000004</v>
      </c>
    </row>
    <row r="102" spans="1:20" x14ac:dyDescent="0.3">
      <c r="A102">
        <v>9805276</v>
      </c>
      <c r="B102">
        <f t="shared" si="9"/>
        <v>0.09</v>
      </c>
      <c r="C102">
        <f t="shared" si="10"/>
        <v>9.0730000000000004</v>
      </c>
      <c r="D102">
        <v>-0.68</v>
      </c>
      <c r="E102">
        <v>0.01</v>
      </c>
      <c r="F102">
        <v>-0.76</v>
      </c>
      <c r="G102">
        <f t="shared" si="11"/>
        <v>0</v>
      </c>
      <c r="H102">
        <f t="shared" si="12"/>
        <v>0</v>
      </c>
      <c r="I102">
        <f t="shared" si="13"/>
        <v>1.0000000000000009E-2</v>
      </c>
      <c r="J102">
        <f>IF(ABS(D102-D101) &gt; $P$2, 1/2*(D102+D101)*9.81*B102 + J101, 0)</f>
        <v>0</v>
      </c>
      <c r="K102">
        <f>IF(ABS(E102-E101) &gt; $P$2, 1/2*(E102+E101)*9.81*B102 + K101, 0)</f>
        <v>0</v>
      </c>
      <c r="L102">
        <f>IF(ABS(F102-F101) &gt; $P$2, 1/2*(F102+F101)*9.81*B102 + L101, 0)</f>
        <v>0</v>
      </c>
      <c r="M102">
        <f t="shared" si="14"/>
        <v>0</v>
      </c>
      <c r="N102">
        <f t="shared" si="15"/>
        <v>0</v>
      </c>
      <c r="O102">
        <f t="shared" si="16"/>
        <v>-6.1804545075000002E-2</v>
      </c>
      <c r="Q102">
        <v>32.5</v>
      </c>
      <c r="R102">
        <v>9.0730000000000004</v>
      </c>
      <c r="S102">
        <f t="shared" si="17"/>
        <v>0.40999999999999659</v>
      </c>
      <c r="T102">
        <f>SQRT(O102*O102)*100</f>
        <v>6.1804545075000004</v>
      </c>
    </row>
    <row r="103" spans="1:20" x14ac:dyDescent="0.3">
      <c r="A103">
        <v>9805367</v>
      </c>
      <c r="B103">
        <f t="shared" si="9"/>
        <v>9.0999999999999998E-2</v>
      </c>
      <c r="C103">
        <f t="shared" si="10"/>
        <v>9.1639999999999997</v>
      </c>
      <c r="D103">
        <v>-0.68</v>
      </c>
      <c r="E103">
        <v>0.02</v>
      </c>
      <c r="F103">
        <v>-0.76</v>
      </c>
      <c r="G103">
        <f t="shared" si="11"/>
        <v>0</v>
      </c>
      <c r="H103">
        <f t="shared" si="12"/>
        <v>0.01</v>
      </c>
      <c r="I103">
        <f t="shared" si="13"/>
        <v>0</v>
      </c>
      <c r="J103">
        <f>IF(ABS(D103-D102) &gt; $P$2, 1/2*(D103+D102)*9.81*B103 + J102, 0)</f>
        <v>0</v>
      </c>
      <c r="K103">
        <f>IF(ABS(E103-E102) &gt; $P$2, 1/2*(E103+E102)*9.81*B103 + K102, 0)</f>
        <v>0</v>
      </c>
      <c r="L103">
        <f>IF(ABS(F103-F102) &gt; $P$2, 1/2*(F103+F102)*9.81*B103 + L102, 0)</f>
        <v>0</v>
      </c>
      <c r="M103">
        <f t="shared" si="14"/>
        <v>0</v>
      </c>
      <c r="N103">
        <f t="shared" si="15"/>
        <v>0</v>
      </c>
      <c r="O103">
        <f t="shared" si="16"/>
        <v>-6.1804545075000002E-2</v>
      </c>
      <c r="Q103">
        <v>32.299999999999997</v>
      </c>
      <c r="R103">
        <v>9.1639999999999997</v>
      </c>
      <c r="S103">
        <f t="shared" si="17"/>
        <v>0.20999999999999375</v>
      </c>
      <c r="T103">
        <f>SQRT(O103*O103)*100</f>
        <v>6.1804545075000004</v>
      </c>
    </row>
    <row r="104" spans="1:20" x14ac:dyDescent="0.3">
      <c r="A104">
        <v>9805457</v>
      </c>
      <c r="B104">
        <f t="shared" si="9"/>
        <v>0.09</v>
      </c>
      <c r="C104">
        <f t="shared" si="10"/>
        <v>9.2539999999999996</v>
      </c>
      <c r="D104">
        <v>-0.68</v>
      </c>
      <c r="E104">
        <v>0.02</v>
      </c>
      <c r="F104">
        <v>-0.76</v>
      </c>
      <c r="G104">
        <f t="shared" si="11"/>
        <v>0</v>
      </c>
      <c r="H104">
        <f t="shared" si="12"/>
        <v>0</v>
      </c>
      <c r="I104">
        <f t="shared" si="13"/>
        <v>0</v>
      </c>
      <c r="J104">
        <f>IF(ABS(D104-D103) &gt; $P$2, 1/2*(D104+D103)*9.81*B104 + J103, 0)</f>
        <v>0</v>
      </c>
      <c r="K104">
        <f>IF(ABS(E104-E103) &gt; $P$2, 1/2*(E104+E103)*9.81*B104 + K103, 0)</f>
        <v>0</v>
      </c>
      <c r="L104">
        <f>IF(ABS(F104-F103) &gt; $P$2, 1/2*(F104+F103)*9.81*B104 + L103, 0)</f>
        <v>0</v>
      </c>
      <c r="M104">
        <f t="shared" si="14"/>
        <v>0</v>
      </c>
      <c r="N104">
        <f t="shared" si="15"/>
        <v>0</v>
      </c>
      <c r="O104">
        <f t="shared" si="16"/>
        <v>-6.1804545075000002E-2</v>
      </c>
      <c r="Q104">
        <v>32.090000000000003</v>
      </c>
      <c r="R104">
        <v>9.2539999999999996</v>
      </c>
      <c r="S104">
        <f t="shared" si="17"/>
        <v>0</v>
      </c>
      <c r="T104">
        <f>SQRT(O104*O104)*100</f>
        <v>6.1804545075000004</v>
      </c>
    </row>
    <row r="105" spans="1:20" x14ac:dyDescent="0.3">
      <c r="A105">
        <v>9805548</v>
      </c>
      <c r="B105">
        <f t="shared" si="9"/>
        <v>9.0999999999999998E-2</v>
      </c>
      <c r="C105">
        <f t="shared" si="10"/>
        <v>9.3450000000000006</v>
      </c>
      <c r="D105">
        <v>-0.69</v>
      </c>
      <c r="E105">
        <v>0.01</v>
      </c>
      <c r="F105">
        <v>-0.76</v>
      </c>
      <c r="G105">
        <f t="shared" si="11"/>
        <v>9.9999999999998979E-3</v>
      </c>
      <c r="H105">
        <f t="shared" si="12"/>
        <v>0.01</v>
      </c>
      <c r="I105">
        <f t="shared" si="13"/>
        <v>0</v>
      </c>
      <c r="J105">
        <f>IF(ABS(D105-D104) &gt; $P$2, 1/2*(D105+D104)*9.81*B105 + J104, 0)</f>
        <v>0</v>
      </c>
      <c r="K105">
        <f>IF(ABS(E105-E104) &gt; $P$2, 1/2*(E105+E104)*9.81*B105 + K104, 0)</f>
        <v>0</v>
      </c>
      <c r="L105">
        <f>IF(ABS(F105-F104) &gt; $P$2, 1/2*(F105+F104)*9.81*B105 + L104, 0)</f>
        <v>0</v>
      </c>
      <c r="M105">
        <f t="shared" si="14"/>
        <v>0</v>
      </c>
      <c r="N105">
        <f t="shared" si="15"/>
        <v>0</v>
      </c>
      <c r="O105">
        <f t="shared" si="16"/>
        <v>-6.1804545075000002E-2</v>
      </c>
      <c r="Q105">
        <v>32.299999999999997</v>
      </c>
      <c r="R105">
        <v>9.3450000000000006</v>
      </c>
      <c r="S105">
        <f t="shared" si="17"/>
        <v>0.20999999999999375</v>
      </c>
      <c r="T105">
        <f>SQRT(O105*O105)*100</f>
        <v>6.1804545075000004</v>
      </c>
    </row>
    <row r="106" spans="1:20" x14ac:dyDescent="0.3">
      <c r="A106">
        <v>9805639</v>
      </c>
      <c r="B106">
        <f t="shared" si="9"/>
        <v>9.0999999999999998E-2</v>
      </c>
      <c r="C106">
        <f t="shared" si="10"/>
        <v>9.4359999999999999</v>
      </c>
      <c r="D106">
        <v>-0.68</v>
      </c>
      <c r="E106">
        <v>0.01</v>
      </c>
      <c r="F106">
        <v>-0.76</v>
      </c>
      <c r="G106">
        <f t="shared" si="11"/>
        <v>9.9999999999998979E-3</v>
      </c>
      <c r="H106">
        <f t="shared" si="12"/>
        <v>0</v>
      </c>
      <c r="I106">
        <f t="shared" si="13"/>
        <v>0</v>
      </c>
      <c r="J106">
        <f>IF(ABS(D106-D105) &gt; $P$2, 1/2*(D106+D105)*9.81*B106 + J105, 0)</f>
        <v>0</v>
      </c>
      <c r="K106">
        <f>IF(ABS(E106-E105) &gt; $P$2, 1/2*(E106+E105)*9.81*B106 + K105, 0)</f>
        <v>0</v>
      </c>
      <c r="L106">
        <f>IF(ABS(F106-F105) &gt; $P$2, 1/2*(F106+F105)*9.81*B106 + L105, 0)</f>
        <v>0</v>
      </c>
      <c r="M106">
        <f t="shared" si="14"/>
        <v>0</v>
      </c>
      <c r="N106">
        <f t="shared" si="15"/>
        <v>0</v>
      </c>
      <c r="O106">
        <f t="shared" si="16"/>
        <v>-6.1804545075000002E-2</v>
      </c>
      <c r="Q106">
        <v>32.5</v>
      </c>
      <c r="R106">
        <v>9.4359999999999999</v>
      </c>
      <c r="S106">
        <f t="shared" si="17"/>
        <v>0.40999999999999659</v>
      </c>
      <c r="T106">
        <f>SQRT(O106*O106)*100</f>
        <v>6.1804545075000004</v>
      </c>
    </row>
    <row r="107" spans="1:20" x14ac:dyDescent="0.3">
      <c r="A107">
        <v>9805729</v>
      </c>
      <c r="B107">
        <f t="shared" si="9"/>
        <v>0.09</v>
      </c>
      <c r="C107">
        <f t="shared" si="10"/>
        <v>9.5259999999999998</v>
      </c>
      <c r="D107">
        <v>-0.69</v>
      </c>
      <c r="E107">
        <v>0.02</v>
      </c>
      <c r="F107">
        <v>-0.75</v>
      </c>
      <c r="G107">
        <f t="shared" si="11"/>
        <v>9.9999999999998979E-3</v>
      </c>
      <c r="H107">
        <f t="shared" si="12"/>
        <v>0.01</v>
      </c>
      <c r="I107">
        <f t="shared" si="13"/>
        <v>1.0000000000000009E-2</v>
      </c>
      <c r="J107">
        <f>IF(ABS(D107-D106) &gt; $P$2, 1/2*(D107+D106)*9.81*B107 + J106, 0)</f>
        <v>0</v>
      </c>
      <c r="K107">
        <f>IF(ABS(E107-E106) &gt; $P$2, 1/2*(E107+E106)*9.81*B107 + K106, 0)</f>
        <v>0</v>
      </c>
      <c r="L107">
        <f>IF(ABS(F107-F106) &gt; $P$2, 1/2*(F107+F106)*9.81*B107 + L106, 0)</f>
        <v>0</v>
      </c>
      <c r="M107">
        <f t="shared" si="14"/>
        <v>0</v>
      </c>
      <c r="N107">
        <f t="shared" si="15"/>
        <v>0</v>
      </c>
      <c r="O107">
        <f t="shared" si="16"/>
        <v>-6.1804545075000002E-2</v>
      </c>
      <c r="Q107">
        <v>32.71</v>
      </c>
      <c r="R107">
        <v>9.5259999999999998</v>
      </c>
      <c r="S107">
        <f t="shared" si="17"/>
        <v>0.61999999999999744</v>
      </c>
      <c r="T107">
        <f>SQRT(O107*O107)*100</f>
        <v>6.1804545075000004</v>
      </c>
    </row>
    <row r="108" spans="1:20" x14ac:dyDescent="0.3">
      <c r="A108">
        <v>9805820</v>
      </c>
      <c r="B108">
        <f t="shared" si="9"/>
        <v>9.0999999999999998E-2</v>
      </c>
      <c r="C108">
        <f t="shared" si="10"/>
        <v>9.6170000000000009</v>
      </c>
      <c r="D108">
        <v>-0.68</v>
      </c>
      <c r="E108">
        <v>0.01</v>
      </c>
      <c r="F108">
        <v>-0.76</v>
      </c>
      <c r="G108">
        <f t="shared" si="11"/>
        <v>9.9999999999998979E-3</v>
      </c>
      <c r="H108">
        <f t="shared" si="12"/>
        <v>0.01</v>
      </c>
      <c r="I108">
        <f t="shared" si="13"/>
        <v>1.0000000000000009E-2</v>
      </c>
      <c r="J108">
        <f>IF(ABS(D108-D107) &gt; $P$2, 1/2*(D108+D107)*9.81*B108 + J107, 0)</f>
        <v>0</v>
      </c>
      <c r="K108">
        <f>IF(ABS(E108-E107) &gt; $P$2, 1/2*(E108+E107)*9.81*B108 + K107, 0)</f>
        <v>0</v>
      </c>
      <c r="L108">
        <f>IF(ABS(F108-F107) &gt; $P$2, 1/2*(F108+F107)*9.81*B108 + L107, 0)</f>
        <v>0</v>
      </c>
      <c r="M108">
        <f t="shared" si="14"/>
        <v>0</v>
      </c>
      <c r="N108">
        <f t="shared" si="15"/>
        <v>0</v>
      </c>
      <c r="O108">
        <f t="shared" si="16"/>
        <v>-6.1804545075000002E-2</v>
      </c>
      <c r="Q108">
        <v>32.92</v>
      </c>
      <c r="R108">
        <v>9.6170000000000009</v>
      </c>
      <c r="S108">
        <f t="shared" si="17"/>
        <v>0.82999999999999829</v>
      </c>
      <c r="T108">
        <f>SQRT(O108*O108)*100</f>
        <v>6.1804545075000004</v>
      </c>
    </row>
    <row r="109" spans="1:20" x14ac:dyDescent="0.3">
      <c r="A109">
        <v>9805911</v>
      </c>
      <c r="B109">
        <f t="shared" si="9"/>
        <v>9.0999999999999998E-2</v>
      </c>
      <c r="C109">
        <f t="shared" si="10"/>
        <v>9.7080000000000002</v>
      </c>
      <c r="D109">
        <v>-0.68</v>
      </c>
      <c r="E109">
        <v>0.01</v>
      </c>
      <c r="F109">
        <v>-0.76</v>
      </c>
      <c r="G109">
        <f t="shared" si="11"/>
        <v>0</v>
      </c>
      <c r="H109">
        <f t="shared" si="12"/>
        <v>0</v>
      </c>
      <c r="I109">
        <f t="shared" si="13"/>
        <v>0</v>
      </c>
      <c r="J109">
        <f>IF(ABS(D109-D108) &gt; $P$2, 1/2*(D109+D108)*9.81*B109 + J108, 0)</f>
        <v>0</v>
      </c>
      <c r="K109">
        <f>IF(ABS(E109-E108) &gt; $P$2, 1/2*(E109+E108)*9.81*B109 + K108, 0)</f>
        <v>0</v>
      </c>
      <c r="L109">
        <f>IF(ABS(F109-F108) &gt; $P$2, 1/2*(F109+F108)*9.81*B109 + L108, 0)</f>
        <v>0</v>
      </c>
      <c r="M109">
        <f t="shared" si="14"/>
        <v>0</v>
      </c>
      <c r="N109">
        <f t="shared" si="15"/>
        <v>0</v>
      </c>
      <c r="O109">
        <f t="shared" si="16"/>
        <v>-6.1804545075000002E-2</v>
      </c>
      <c r="Q109">
        <v>32.090000000000003</v>
      </c>
      <c r="R109">
        <v>9.7080000000000002</v>
      </c>
      <c r="S109">
        <f t="shared" si="17"/>
        <v>0</v>
      </c>
      <c r="T109">
        <f>SQRT(O109*O109)*100</f>
        <v>6.1804545075000004</v>
      </c>
    </row>
    <row r="110" spans="1:20" x14ac:dyDescent="0.3">
      <c r="A110">
        <v>9806002</v>
      </c>
      <c r="B110">
        <f t="shared" si="9"/>
        <v>9.0999999999999998E-2</v>
      </c>
      <c r="C110">
        <f t="shared" si="10"/>
        <v>9.7989999999999995</v>
      </c>
      <c r="D110">
        <v>-0.68</v>
      </c>
      <c r="E110">
        <v>0.01</v>
      </c>
      <c r="F110">
        <v>-0.76</v>
      </c>
      <c r="G110">
        <f t="shared" si="11"/>
        <v>0</v>
      </c>
      <c r="H110">
        <f t="shared" si="12"/>
        <v>0</v>
      </c>
      <c r="I110">
        <f t="shared" si="13"/>
        <v>0</v>
      </c>
      <c r="J110">
        <f>IF(ABS(D110-D109) &gt; $P$2, 1/2*(D110+D109)*9.81*B110 + J109, 0)</f>
        <v>0</v>
      </c>
      <c r="K110">
        <f>IF(ABS(E110-E109) &gt; $P$2, 1/2*(E110+E109)*9.81*B110 + K109, 0)</f>
        <v>0</v>
      </c>
      <c r="L110">
        <f>IF(ABS(F110-F109) &gt; $P$2, 1/2*(F110+F109)*9.81*B110 + L109, 0)</f>
        <v>0</v>
      </c>
      <c r="M110">
        <f t="shared" si="14"/>
        <v>0</v>
      </c>
      <c r="N110">
        <f t="shared" si="15"/>
        <v>0</v>
      </c>
      <c r="O110">
        <f t="shared" si="16"/>
        <v>-6.1804545075000002E-2</v>
      </c>
      <c r="Q110">
        <v>32.92</v>
      </c>
      <c r="R110">
        <v>9.7989999999999995</v>
      </c>
      <c r="S110">
        <f t="shared" si="17"/>
        <v>0.82999999999999829</v>
      </c>
      <c r="T110">
        <f>SQRT(O110*O110)*100</f>
        <v>6.1804545075000004</v>
      </c>
    </row>
    <row r="111" spans="1:20" x14ac:dyDescent="0.3">
      <c r="A111">
        <v>9806093</v>
      </c>
      <c r="B111">
        <f t="shared" si="9"/>
        <v>9.0999999999999998E-2</v>
      </c>
      <c r="C111">
        <f t="shared" si="10"/>
        <v>9.89</v>
      </c>
      <c r="D111">
        <v>-0.68</v>
      </c>
      <c r="E111">
        <v>0.01</v>
      </c>
      <c r="F111">
        <v>-0.75</v>
      </c>
      <c r="G111">
        <f t="shared" si="11"/>
        <v>0</v>
      </c>
      <c r="H111">
        <f t="shared" si="12"/>
        <v>0</v>
      </c>
      <c r="I111">
        <f t="shared" si="13"/>
        <v>1.0000000000000009E-2</v>
      </c>
      <c r="J111">
        <f>IF(ABS(D111-D110) &gt; $P$2, 1/2*(D111+D110)*9.81*B111 + J110, 0)</f>
        <v>0</v>
      </c>
      <c r="K111">
        <f>IF(ABS(E111-E110) &gt; $P$2, 1/2*(E111+E110)*9.81*B111 + K110, 0)</f>
        <v>0</v>
      </c>
      <c r="L111">
        <f>IF(ABS(F111-F110) &gt; $P$2, 1/2*(F111+F110)*9.81*B111 + L110, 0)</f>
        <v>0</v>
      </c>
      <c r="M111">
        <f t="shared" si="14"/>
        <v>0</v>
      </c>
      <c r="N111">
        <f t="shared" si="15"/>
        <v>0</v>
      </c>
      <c r="O111">
        <f t="shared" si="16"/>
        <v>-6.1804545075000002E-2</v>
      </c>
      <c r="Q111">
        <v>32.71</v>
      </c>
      <c r="R111">
        <v>9.89</v>
      </c>
      <c r="S111">
        <f t="shared" si="17"/>
        <v>0.61999999999999744</v>
      </c>
      <c r="T111">
        <f>SQRT(O111*O111)*100</f>
        <v>6.1804545075000004</v>
      </c>
    </row>
    <row r="112" spans="1:20" x14ac:dyDescent="0.3">
      <c r="A112">
        <v>9806183</v>
      </c>
      <c r="B112">
        <f t="shared" si="9"/>
        <v>0.09</v>
      </c>
      <c r="C112">
        <f t="shared" si="10"/>
        <v>9.98</v>
      </c>
      <c r="D112">
        <v>-0.68</v>
      </c>
      <c r="E112">
        <v>0.01</v>
      </c>
      <c r="F112">
        <v>-0.75</v>
      </c>
      <c r="G112">
        <f t="shared" si="11"/>
        <v>0</v>
      </c>
      <c r="H112">
        <f t="shared" si="12"/>
        <v>0</v>
      </c>
      <c r="I112">
        <f t="shared" si="13"/>
        <v>0</v>
      </c>
      <c r="J112">
        <f>IF(ABS(D112-D111) &gt; $P$2, 1/2*(D112+D111)*9.81*B112 + J111, 0)</f>
        <v>0</v>
      </c>
      <c r="K112">
        <f>IF(ABS(E112-E111) &gt; $P$2, 1/2*(E112+E111)*9.81*B112 + K111, 0)</f>
        <v>0</v>
      </c>
      <c r="L112">
        <f>IF(ABS(F112-F111) &gt; $P$2, 1/2*(F112+F111)*9.81*B112 + L111, 0)</f>
        <v>0</v>
      </c>
      <c r="M112">
        <f t="shared" si="14"/>
        <v>0</v>
      </c>
      <c r="N112">
        <f t="shared" si="15"/>
        <v>0</v>
      </c>
      <c r="O112">
        <f t="shared" si="16"/>
        <v>-6.1804545075000002E-2</v>
      </c>
      <c r="Q112">
        <v>32.92</v>
      </c>
      <c r="R112">
        <v>9.98</v>
      </c>
      <c r="S112">
        <f t="shared" si="17"/>
        <v>0.82999999999999829</v>
      </c>
      <c r="T112">
        <f>SQRT(O112*O112)*100</f>
        <v>6.1804545075000004</v>
      </c>
    </row>
    <row r="113" spans="1:20" x14ac:dyDescent="0.3">
      <c r="A113">
        <v>9806274</v>
      </c>
      <c r="B113">
        <f t="shared" si="9"/>
        <v>9.0999999999999998E-2</v>
      </c>
      <c r="C113">
        <f t="shared" si="10"/>
        <v>10.071</v>
      </c>
      <c r="D113">
        <v>-0.69</v>
      </c>
      <c r="E113">
        <v>0.02</v>
      </c>
      <c r="F113">
        <v>-0.76</v>
      </c>
      <c r="G113">
        <f t="shared" si="11"/>
        <v>9.9999999999998979E-3</v>
      </c>
      <c r="H113">
        <f t="shared" si="12"/>
        <v>0.01</v>
      </c>
      <c r="I113">
        <f t="shared" si="13"/>
        <v>1.0000000000000009E-2</v>
      </c>
      <c r="J113">
        <f>IF(ABS(D113-D112) &gt; $P$2, 1/2*(D113+D112)*9.81*B113 + J112, 0)</f>
        <v>0</v>
      </c>
      <c r="K113">
        <f>IF(ABS(E113-E112) &gt; $P$2, 1/2*(E113+E112)*9.81*B113 + K112, 0)</f>
        <v>0</v>
      </c>
      <c r="L113">
        <f>IF(ABS(F113-F112) &gt; $P$2, 1/2*(F113+F112)*9.81*B113 + L112, 0)</f>
        <v>0</v>
      </c>
      <c r="M113">
        <f t="shared" si="14"/>
        <v>0</v>
      </c>
      <c r="N113">
        <f t="shared" si="15"/>
        <v>0</v>
      </c>
      <c r="O113">
        <f t="shared" si="16"/>
        <v>-6.1804545075000002E-2</v>
      </c>
      <c r="Q113">
        <v>32.71</v>
      </c>
      <c r="R113">
        <v>10.071</v>
      </c>
      <c r="S113">
        <f t="shared" si="17"/>
        <v>0.61999999999999744</v>
      </c>
      <c r="T113">
        <f>SQRT(O113*O113)*100</f>
        <v>6.1804545075000004</v>
      </c>
    </row>
    <row r="114" spans="1:20" x14ac:dyDescent="0.3">
      <c r="A114">
        <v>9806365</v>
      </c>
      <c r="B114">
        <f t="shared" si="9"/>
        <v>9.0999999999999998E-2</v>
      </c>
      <c r="C114">
        <f t="shared" si="10"/>
        <v>10.162000000000001</v>
      </c>
      <c r="D114">
        <v>-0.68</v>
      </c>
      <c r="E114">
        <v>0.01</v>
      </c>
      <c r="F114">
        <v>-0.76</v>
      </c>
      <c r="G114">
        <f t="shared" si="11"/>
        <v>9.9999999999998979E-3</v>
      </c>
      <c r="H114">
        <f t="shared" si="12"/>
        <v>0.01</v>
      </c>
      <c r="I114">
        <f t="shared" si="13"/>
        <v>0</v>
      </c>
      <c r="J114">
        <f>IF(ABS(D114-D113) &gt; $P$2, 1/2*(D114+D113)*9.81*B114 + J113, 0)</f>
        <v>0</v>
      </c>
      <c r="K114">
        <f>IF(ABS(E114-E113) &gt; $P$2, 1/2*(E114+E113)*9.81*B114 + K113, 0)</f>
        <v>0</v>
      </c>
      <c r="L114">
        <f>IF(ABS(F114-F113) &gt; $P$2, 1/2*(F114+F113)*9.81*B114 + L113, 0)</f>
        <v>0</v>
      </c>
      <c r="M114">
        <f t="shared" si="14"/>
        <v>0</v>
      </c>
      <c r="N114">
        <f t="shared" si="15"/>
        <v>0</v>
      </c>
      <c r="O114">
        <f t="shared" si="16"/>
        <v>-6.1804545075000002E-2</v>
      </c>
      <c r="Q114">
        <v>32.92</v>
      </c>
      <c r="R114">
        <v>10.162000000000001</v>
      </c>
      <c r="S114">
        <f t="shared" si="17"/>
        <v>0.82999999999999829</v>
      </c>
      <c r="T114">
        <f>SQRT(O114*O114)*100</f>
        <v>6.1804545075000004</v>
      </c>
    </row>
    <row r="115" spans="1:20" x14ac:dyDescent="0.3">
      <c r="A115">
        <v>9806455</v>
      </c>
      <c r="B115">
        <f t="shared" si="9"/>
        <v>0.09</v>
      </c>
      <c r="C115">
        <f t="shared" si="10"/>
        <v>10.252000000000001</v>
      </c>
      <c r="D115">
        <v>-0.68</v>
      </c>
      <c r="E115">
        <v>0.01</v>
      </c>
      <c r="F115">
        <v>-0.76</v>
      </c>
      <c r="G115">
        <f t="shared" si="11"/>
        <v>0</v>
      </c>
      <c r="H115">
        <f t="shared" si="12"/>
        <v>0</v>
      </c>
      <c r="I115">
        <f t="shared" si="13"/>
        <v>0</v>
      </c>
      <c r="J115">
        <f>IF(ABS(D115-D114) &gt; $P$2, 1/2*(D115+D114)*9.81*B115 + J114, 0)</f>
        <v>0</v>
      </c>
      <c r="K115">
        <f>IF(ABS(E115-E114) &gt; $P$2, 1/2*(E115+E114)*9.81*B115 + K114, 0)</f>
        <v>0</v>
      </c>
      <c r="L115">
        <f>IF(ABS(F115-F114) &gt; $P$2, 1/2*(F115+F114)*9.81*B115 + L114, 0)</f>
        <v>0</v>
      </c>
      <c r="M115">
        <f t="shared" si="14"/>
        <v>0</v>
      </c>
      <c r="N115">
        <f t="shared" si="15"/>
        <v>0</v>
      </c>
      <c r="O115">
        <f t="shared" si="16"/>
        <v>-6.1804545075000002E-2</v>
      </c>
      <c r="Q115">
        <v>32.92</v>
      </c>
      <c r="R115">
        <v>10.252000000000001</v>
      </c>
      <c r="S115">
        <f t="shared" si="17"/>
        <v>0.82999999999999829</v>
      </c>
      <c r="T115">
        <f>SQRT(O115*O115)*100</f>
        <v>6.1804545075000004</v>
      </c>
    </row>
    <row r="116" spans="1:20" x14ac:dyDescent="0.3">
      <c r="A116">
        <v>9806546</v>
      </c>
      <c r="B116">
        <f t="shared" si="9"/>
        <v>9.0999999999999998E-2</v>
      </c>
      <c r="C116">
        <f t="shared" si="10"/>
        <v>10.343</v>
      </c>
      <c r="D116">
        <v>-0.68</v>
      </c>
      <c r="E116">
        <v>0.01</v>
      </c>
      <c r="F116">
        <v>-0.75</v>
      </c>
      <c r="G116">
        <f t="shared" si="11"/>
        <v>0</v>
      </c>
      <c r="H116">
        <f t="shared" si="12"/>
        <v>0</v>
      </c>
      <c r="I116">
        <f t="shared" si="13"/>
        <v>1.0000000000000009E-2</v>
      </c>
      <c r="J116">
        <f>IF(ABS(D116-D115) &gt; $P$2, 1/2*(D116+D115)*9.81*B116 + J115, 0)</f>
        <v>0</v>
      </c>
      <c r="K116">
        <f>IF(ABS(E116-E115) &gt; $P$2, 1/2*(E116+E115)*9.81*B116 + K115, 0)</f>
        <v>0</v>
      </c>
      <c r="L116">
        <f>IF(ABS(F116-F115) &gt; $P$2, 1/2*(F116+F115)*9.81*B116 + L115, 0)</f>
        <v>0</v>
      </c>
      <c r="M116">
        <f t="shared" si="14"/>
        <v>0</v>
      </c>
      <c r="N116">
        <f t="shared" si="15"/>
        <v>0</v>
      </c>
      <c r="O116">
        <f t="shared" si="16"/>
        <v>-6.1804545075000002E-2</v>
      </c>
      <c r="Q116">
        <v>33.130000000000003</v>
      </c>
      <c r="R116">
        <v>10.343</v>
      </c>
      <c r="S116">
        <f t="shared" si="17"/>
        <v>1.0399999999999991</v>
      </c>
      <c r="T116">
        <f>SQRT(O116*O116)*100</f>
        <v>6.1804545075000004</v>
      </c>
    </row>
    <row r="117" spans="1:20" x14ac:dyDescent="0.3">
      <c r="A117">
        <v>9806637</v>
      </c>
      <c r="B117">
        <f t="shared" si="9"/>
        <v>9.0999999999999998E-2</v>
      </c>
      <c r="C117">
        <f t="shared" si="10"/>
        <v>10.433999999999999</v>
      </c>
      <c r="D117">
        <v>-0.69</v>
      </c>
      <c r="E117">
        <v>0.02</v>
      </c>
      <c r="F117">
        <v>-0.75</v>
      </c>
      <c r="G117">
        <f t="shared" si="11"/>
        <v>9.9999999999998979E-3</v>
      </c>
      <c r="H117">
        <f t="shared" si="12"/>
        <v>0.01</v>
      </c>
      <c r="I117">
        <f t="shared" si="13"/>
        <v>0</v>
      </c>
      <c r="J117">
        <f>IF(ABS(D117-D116) &gt; $P$2, 1/2*(D117+D116)*9.81*B117 + J116, 0)</f>
        <v>0</v>
      </c>
      <c r="K117">
        <f>IF(ABS(E117-E116) &gt; $P$2, 1/2*(E117+E116)*9.81*B117 + K116, 0)</f>
        <v>0</v>
      </c>
      <c r="L117">
        <f>IF(ABS(F117-F116) &gt; $P$2, 1/2*(F117+F116)*9.81*B117 + L116, 0)</f>
        <v>0</v>
      </c>
      <c r="M117">
        <f t="shared" si="14"/>
        <v>0</v>
      </c>
      <c r="N117">
        <f t="shared" si="15"/>
        <v>0</v>
      </c>
      <c r="O117">
        <f t="shared" si="16"/>
        <v>-6.1804545075000002E-2</v>
      </c>
      <c r="Q117">
        <v>33.130000000000003</v>
      </c>
      <c r="R117">
        <v>10.433999999999999</v>
      </c>
      <c r="S117">
        <f t="shared" si="17"/>
        <v>1.0399999999999991</v>
      </c>
      <c r="T117">
        <f>SQRT(O117*O117)*100</f>
        <v>6.1804545075000004</v>
      </c>
    </row>
    <row r="118" spans="1:20" x14ac:dyDescent="0.3">
      <c r="A118">
        <v>9806728</v>
      </c>
      <c r="B118">
        <f t="shared" si="9"/>
        <v>9.0999999999999998E-2</v>
      </c>
      <c r="C118">
        <f t="shared" si="10"/>
        <v>10.525</v>
      </c>
      <c r="D118">
        <v>-0.68</v>
      </c>
      <c r="E118">
        <v>0.02</v>
      </c>
      <c r="F118">
        <v>-0.76</v>
      </c>
      <c r="G118">
        <f t="shared" si="11"/>
        <v>9.9999999999998979E-3</v>
      </c>
      <c r="H118">
        <f t="shared" si="12"/>
        <v>0</v>
      </c>
      <c r="I118">
        <f t="shared" si="13"/>
        <v>1.0000000000000009E-2</v>
      </c>
      <c r="J118">
        <f>IF(ABS(D118-D117) &gt; $P$2, 1/2*(D118+D117)*9.81*B118 + J117, 0)</f>
        <v>0</v>
      </c>
      <c r="K118">
        <f>IF(ABS(E118-E117) &gt; $P$2, 1/2*(E118+E117)*9.81*B118 + K117, 0)</f>
        <v>0</v>
      </c>
      <c r="L118">
        <f>IF(ABS(F118-F117) &gt; $P$2, 1/2*(F118+F117)*9.81*B118 + L117, 0)</f>
        <v>0</v>
      </c>
      <c r="M118">
        <f t="shared" si="14"/>
        <v>0</v>
      </c>
      <c r="N118">
        <f t="shared" si="15"/>
        <v>0</v>
      </c>
      <c r="O118">
        <f t="shared" si="16"/>
        <v>-6.1804545075000002E-2</v>
      </c>
      <c r="Q118">
        <v>33.130000000000003</v>
      </c>
      <c r="R118">
        <v>10.525</v>
      </c>
      <c r="S118">
        <f t="shared" si="17"/>
        <v>1.0399999999999991</v>
      </c>
      <c r="T118">
        <f>SQRT(O118*O118)*100</f>
        <v>6.1804545075000004</v>
      </c>
    </row>
    <row r="119" spans="1:20" x14ac:dyDescent="0.3">
      <c r="A119">
        <v>9806819</v>
      </c>
      <c r="B119">
        <f t="shared" si="9"/>
        <v>9.0999999999999998E-2</v>
      </c>
      <c r="C119">
        <f t="shared" si="10"/>
        <v>10.616</v>
      </c>
      <c r="D119">
        <v>-0.69</v>
      </c>
      <c r="E119">
        <v>0.01</v>
      </c>
      <c r="F119">
        <v>-0.77</v>
      </c>
      <c r="G119">
        <f t="shared" si="11"/>
        <v>9.9999999999998979E-3</v>
      </c>
      <c r="H119">
        <f t="shared" si="12"/>
        <v>0.01</v>
      </c>
      <c r="I119">
        <f t="shared" si="13"/>
        <v>1.0000000000000009E-2</v>
      </c>
      <c r="J119">
        <f>IF(ABS(D119-D118) &gt; $P$2, 1/2*(D119+D118)*9.81*B119 + J118, 0)</f>
        <v>0</v>
      </c>
      <c r="K119">
        <f>IF(ABS(E119-E118) &gt; $P$2, 1/2*(E119+E118)*9.81*B119 + K118, 0)</f>
        <v>0</v>
      </c>
      <c r="L119">
        <f>IF(ABS(F119-F118) &gt; $P$2, 1/2*(F119+F118)*9.81*B119 + L118, 0)</f>
        <v>0</v>
      </c>
      <c r="M119">
        <f t="shared" si="14"/>
        <v>0</v>
      </c>
      <c r="N119">
        <f t="shared" si="15"/>
        <v>0</v>
      </c>
      <c r="O119">
        <f t="shared" si="16"/>
        <v>-6.1804545075000002E-2</v>
      </c>
      <c r="Q119">
        <v>32.71</v>
      </c>
      <c r="R119">
        <v>10.616</v>
      </c>
      <c r="S119">
        <f t="shared" si="17"/>
        <v>0.61999999999999744</v>
      </c>
      <c r="T119">
        <f>SQRT(O119*O119)*100</f>
        <v>6.1804545075000004</v>
      </c>
    </row>
    <row r="120" spans="1:20" x14ac:dyDescent="0.3">
      <c r="A120">
        <v>9806909</v>
      </c>
      <c r="B120">
        <f t="shared" si="9"/>
        <v>0.09</v>
      </c>
      <c r="C120">
        <f t="shared" si="10"/>
        <v>10.706</v>
      </c>
      <c r="D120">
        <v>-0.69</v>
      </c>
      <c r="E120">
        <v>0.01</v>
      </c>
      <c r="F120">
        <v>-0.76</v>
      </c>
      <c r="G120">
        <f t="shared" si="11"/>
        <v>0</v>
      </c>
      <c r="H120">
        <f t="shared" si="12"/>
        <v>0</v>
      </c>
      <c r="I120">
        <f t="shared" si="13"/>
        <v>1.0000000000000009E-2</v>
      </c>
      <c r="J120">
        <f>IF(ABS(D120-D119) &gt; $P$2, 1/2*(D120+D119)*9.81*B120 + J119, 0)</f>
        <v>0</v>
      </c>
      <c r="K120">
        <f>IF(ABS(E120-E119) &gt; $P$2, 1/2*(E120+E119)*9.81*B120 + K119, 0)</f>
        <v>0</v>
      </c>
      <c r="L120">
        <f>IF(ABS(F120-F119) &gt; $P$2, 1/2*(F120+F119)*9.81*B120 + L119, 0)</f>
        <v>0</v>
      </c>
      <c r="M120">
        <f t="shared" si="14"/>
        <v>0</v>
      </c>
      <c r="N120">
        <f t="shared" si="15"/>
        <v>0</v>
      </c>
      <c r="O120">
        <f t="shared" si="16"/>
        <v>-6.1804545075000002E-2</v>
      </c>
      <c r="Q120">
        <v>33.340000000000003</v>
      </c>
      <c r="R120">
        <v>10.706</v>
      </c>
      <c r="S120">
        <f t="shared" si="17"/>
        <v>1.25</v>
      </c>
      <c r="T120">
        <f>SQRT(O120*O120)*100</f>
        <v>6.1804545075000004</v>
      </c>
    </row>
    <row r="121" spans="1:20" x14ac:dyDescent="0.3">
      <c r="A121">
        <v>9807000</v>
      </c>
      <c r="B121">
        <f t="shared" si="9"/>
        <v>9.0999999999999998E-2</v>
      </c>
      <c r="C121">
        <f t="shared" si="10"/>
        <v>10.797000000000001</v>
      </c>
      <c r="D121">
        <v>-0.68</v>
      </c>
      <c r="E121">
        <v>0.01</v>
      </c>
      <c r="F121">
        <v>-0.75</v>
      </c>
      <c r="G121">
        <f t="shared" si="11"/>
        <v>9.9999999999998979E-3</v>
      </c>
      <c r="H121">
        <f t="shared" si="12"/>
        <v>0</v>
      </c>
      <c r="I121">
        <f t="shared" si="13"/>
        <v>1.0000000000000009E-2</v>
      </c>
      <c r="J121">
        <f>IF(ABS(D121-D120) &gt; $P$2, 1/2*(D121+D120)*9.81*B121 + J120, 0)</f>
        <v>0</v>
      </c>
      <c r="K121">
        <f>IF(ABS(E121-E120) &gt; $P$2, 1/2*(E121+E120)*9.81*B121 + K120, 0)</f>
        <v>0</v>
      </c>
      <c r="L121">
        <f>IF(ABS(F121-F120) &gt; $P$2, 1/2*(F121+F120)*9.81*B121 + L120, 0)</f>
        <v>0</v>
      </c>
      <c r="M121">
        <f t="shared" si="14"/>
        <v>0</v>
      </c>
      <c r="N121">
        <f t="shared" si="15"/>
        <v>0</v>
      </c>
      <c r="O121">
        <f t="shared" si="16"/>
        <v>-6.1804545075000002E-2</v>
      </c>
      <c r="Q121">
        <v>33.130000000000003</v>
      </c>
      <c r="R121">
        <v>10.797000000000001</v>
      </c>
      <c r="S121">
        <f t="shared" si="17"/>
        <v>1.0399999999999991</v>
      </c>
      <c r="T121">
        <f>SQRT(O121*O121)*100</f>
        <v>6.1804545075000004</v>
      </c>
    </row>
    <row r="122" spans="1:20" x14ac:dyDescent="0.3">
      <c r="A122">
        <v>9807090</v>
      </c>
      <c r="B122">
        <f t="shared" si="9"/>
        <v>0.09</v>
      </c>
      <c r="C122">
        <f t="shared" si="10"/>
        <v>10.887</v>
      </c>
      <c r="D122">
        <v>-0.69</v>
      </c>
      <c r="E122">
        <v>0.01</v>
      </c>
      <c r="F122">
        <v>-0.75</v>
      </c>
      <c r="G122">
        <f t="shared" si="11"/>
        <v>9.9999999999998979E-3</v>
      </c>
      <c r="H122">
        <f t="shared" si="12"/>
        <v>0</v>
      </c>
      <c r="I122">
        <f t="shared" si="13"/>
        <v>0</v>
      </c>
      <c r="J122">
        <f>IF(ABS(D122-D121) &gt; $P$2, 1/2*(D122+D121)*9.81*B122 + J121, 0)</f>
        <v>0</v>
      </c>
      <c r="K122">
        <f>IF(ABS(E122-E121) &gt; $P$2, 1/2*(E122+E121)*9.81*B122 + K121, 0)</f>
        <v>0</v>
      </c>
      <c r="L122">
        <f>IF(ABS(F122-F121) &gt; $P$2, 1/2*(F122+F121)*9.81*B122 + L121, 0)</f>
        <v>0</v>
      </c>
      <c r="M122">
        <f t="shared" si="14"/>
        <v>0</v>
      </c>
      <c r="N122">
        <f t="shared" si="15"/>
        <v>0</v>
      </c>
      <c r="O122">
        <f t="shared" si="16"/>
        <v>-6.1804545075000002E-2</v>
      </c>
      <c r="Q122">
        <v>33.549999999999997</v>
      </c>
      <c r="R122">
        <v>10.887</v>
      </c>
      <c r="S122">
        <f t="shared" si="17"/>
        <v>1.4599999999999937</v>
      </c>
      <c r="T122">
        <f>SQRT(O122*O122)*100</f>
        <v>6.1804545075000004</v>
      </c>
    </row>
    <row r="123" spans="1:20" x14ac:dyDescent="0.3">
      <c r="A123">
        <v>9807181</v>
      </c>
      <c r="B123">
        <f t="shared" si="9"/>
        <v>9.0999999999999998E-2</v>
      </c>
      <c r="C123">
        <f t="shared" si="10"/>
        <v>10.978</v>
      </c>
      <c r="D123">
        <v>-0.68</v>
      </c>
      <c r="E123">
        <v>0.01</v>
      </c>
      <c r="F123">
        <v>-0.76</v>
      </c>
      <c r="G123">
        <f t="shared" si="11"/>
        <v>9.9999999999998979E-3</v>
      </c>
      <c r="H123">
        <f t="shared" si="12"/>
        <v>0</v>
      </c>
      <c r="I123">
        <f t="shared" si="13"/>
        <v>1.0000000000000009E-2</v>
      </c>
      <c r="J123">
        <f>IF(ABS(D123-D122) &gt; $P$2, 1/2*(D123+D122)*9.81*B123 + J122, 0)</f>
        <v>0</v>
      </c>
      <c r="K123">
        <f>IF(ABS(E123-E122) &gt; $P$2, 1/2*(E123+E122)*9.81*B123 + K122, 0)</f>
        <v>0</v>
      </c>
      <c r="L123">
        <f>IF(ABS(F123-F122) &gt; $P$2, 1/2*(F123+F122)*9.81*B123 + L122, 0)</f>
        <v>0</v>
      </c>
      <c r="M123">
        <f t="shared" si="14"/>
        <v>0</v>
      </c>
      <c r="N123">
        <f t="shared" si="15"/>
        <v>0</v>
      </c>
      <c r="O123">
        <f t="shared" si="16"/>
        <v>-6.1804545075000002E-2</v>
      </c>
      <c r="Q123">
        <v>33.75</v>
      </c>
      <c r="R123">
        <v>10.978</v>
      </c>
      <c r="S123">
        <f t="shared" si="17"/>
        <v>1.6599999999999966</v>
      </c>
      <c r="T123">
        <f>SQRT(O123*O123)*100</f>
        <v>6.1804545075000004</v>
      </c>
    </row>
    <row r="124" spans="1:20" x14ac:dyDescent="0.3">
      <c r="A124">
        <v>9807272</v>
      </c>
      <c r="B124">
        <f t="shared" si="9"/>
        <v>9.0999999999999998E-2</v>
      </c>
      <c r="C124">
        <f t="shared" si="10"/>
        <v>11.069000000000001</v>
      </c>
      <c r="D124">
        <v>-0.68</v>
      </c>
      <c r="E124">
        <v>0.01</v>
      </c>
      <c r="F124">
        <v>-0.75</v>
      </c>
      <c r="G124">
        <f t="shared" si="11"/>
        <v>0</v>
      </c>
      <c r="H124">
        <f t="shared" si="12"/>
        <v>0</v>
      </c>
      <c r="I124">
        <f t="shared" si="13"/>
        <v>1.0000000000000009E-2</v>
      </c>
      <c r="J124">
        <f>IF(ABS(D124-D123) &gt; $P$2, 1/2*(D124+D123)*9.81*B124 + J123, 0)</f>
        <v>0</v>
      </c>
      <c r="K124">
        <f>IF(ABS(E124-E123) &gt; $P$2, 1/2*(E124+E123)*9.81*B124 + K123, 0)</f>
        <v>0</v>
      </c>
      <c r="L124">
        <f>IF(ABS(F124-F123) &gt; $P$2, 1/2*(F124+F123)*9.81*B124 + L123, 0)</f>
        <v>0</v>
      </c>
      <c r="M124">
        <f t="shared" si="14"/>
        <v>0</v>
      </c>
      <c r="N124">
        <f t="shared" si="15"/>
        <v>0</v>
      </c>
      <c r="O124">
        <f t="shared" si="16"/>
        <v>-6.1804545075000002E-2</v>
      </c>
      <c r="Q124">
        <v>33.75</v>
      </c>
      <c r="R124">
        <v>11.069000000000001</v>
      </c>
      <c r="S124">
        <f t="shared" si="17"/>
        <v>1.6599999999999966</v>
      </c>
      <c r="T124">
        <f>SQRT(O124*O124)*100</f>
        <v>6.1804545075000004</v>
      </c>
    </row>
    <row r="125" spans="1:20" x14ac:dyDescent="0.3">
      <c r="A125">
        <v>9807363</v>
      </c>
      <c r="B125">
        <f t="shared" si="9"/>
        <v>9.0999999999999998E-2</v>
      </c>
      <c r="C125">
        <f t="shared" si="10"/>
        <v>11.16</v>
      </c>
      <c r="D125">
        <v>-0.68</v>
      </c>
      <c r="E125">
        <v>0.02</v>
      </c>
      <c r="F125">
        <v>-0.74</v>
      </c>
      <c r="G125">
        <f t="shared" si="11"/>
        <v>0</v>
      </c>
      <c r="H125">
        <f t="shared" si="12"/>
        <v>0.01</v>
      </c>
      <c r="I125">
        <f t="shared" si="13"/>
        <v>1.0000000000000009E-2</v>
      </c>
      <c r="J125">
        <f>IF(ABS(D125-D124) &gt; $P$2, 1/2*(D125+D124)*9.81*B125 + J124, 0)</f>
        <v>0</v>
      </c>
      <c r="K125">
        <f>IF(ABS(E125-E124) &gt; $P$2, 1/2*(E125+E124)*9.81*B125 + K124, 0)</f>
        <v>0</v>
      </c>
      <c r="L125">
        <f>IF(ABS(F125-F124) &gt; $P$2, 1/2*(F125+F124)*9.81*B125 + L124, 0)</f>
        <v>0</v>
      </c>
      <c r="M125">
        <f t="shared" si="14"/>
        <v>0</v>
      </c>
      <c r="N125">
        <f t="shared" si="15"/>
        <v>0</v>
      </c>
      <c r="O125">
        <f t="shared" si="16"/>
        <v>-6.1804545075000002E-2</v>
      </c>
      <c r="Q125">
        <v>33.96</v>
      </c>
      <c r="R125">
        <v>11.16</v>
      </c>
      <c r="S125">
        <f t="shared" si="17"/>
        <v>1.8699999999999974</v>
      </c>
      <c r="T125">
        <f>SQRT(O125*O125)*100</f>
        <v>6.1804545075000004</v>
      </c>
    </row>
    <row r="126" spans="1:20" x14ac:dyDescent="0.3">
      <c r="A126">
        <v>9807454</v>
      </c>
      <c r="B126">
        <f t="shared" si="9"/>
        <v>9.0999999999999998E-2</v>
      </c>
      <c r="C126">
        <f t="shared" si="10"/>
        <v>11.250999999999999</v>
      </c>
      <c r="D126">
        <v>-0.69</v>
      </c>
      <c r="E126">
        <v>0</v>
      </c>
      <c r="F126">
        <v>-0.74</v>
      </c>
      <c r="G126">
        <f t="shared" si="11"/>
        <v>9.9999999999998979E-3</v>
      </c>
      <c r="H126">
        <f t="shared" si="12"/>
        <v>0.02</v>
      </c>
      <c r="I126">
        <f t="shared" si="13"/>
        <v>0</v>
      </c>
      <c r="J126">
        <f>IF(ABS(D126-D125) &gt; $P$2, 1/2*(D126+D125)*9.81*B126 + J125, 0)</f>
        <v>0</v>
      </c>
      <c r="K126">
        <f>IF(ABS(E126-E125) &gt; $P$2, 1/2*(E126+E125)*9.81*B126 + K125, 0)</f>
        <v>0</v>
      </c>
      <c r="L126">
        <f>IF(ABS(F126-F125) &gt; $P$2, 1/2*(F126+F125)*9.81*B126 + L125, 0)</f>
        <v>0</v>
      </c>
      <c r="M126">
        <f t="shared" si="14"/>
        <v>0</v>
      </c>
      <c r="N126">
        <f t="shared" si="15"/>
        <v>0</v>
      </c>
      <c r="O126">
        <f t="shared" si="16"/>
        <v>-6.1804545075000002E-2</v>
      </c>
      <c r="Q126">
        <v>34.590000000000003</v>
      </c>
      <c r="R126">
        <v>11.250999999999999</v>
      </c>
      <c r="S126">
        <f t="shared" si="17"/>
        <v>2.5</v>
      </c>
      <c r="T126">
        <f>SQRT(O126*O126)*100</f>
        <v>6.1804545075000004</v>
      </c>
    </row>
    <row r="127" spans="1:20" x14ac:dyDescent="0.3">
      <c r="A127">
        <v>9807544</v>
      </c>
      <c r="B127">
        <f t="shared" si="9"/>
        <v>0.09</v>
      </c>
      <c r="C127">
        <f t="shared" si="10"/>
        <v>11.340999999999999</v>
      </c>
      <c r="D127">
        <v>-0.68</v>
      </c>
      <c r="E127">
        <v>0.01</v>
      </c>
      <c r="F127">
        <v>-0.74</v>
      </c>
      <c r="G127">
        <f t="shared" si="11"/>
        <v>9.9999999999998979E-3</v>
      </c>
      <c r="H127">
        <f t="shared" si="12"/>
        <v>0.01</v>
      </c>
      <c r="I127">
        <f t="shared" si="13"/>
        <v>0</v>
      </c>
      <c r="J127">
        <f>IF(ABS(D127-D126) &gt; $P$2, 1/2*(D127+D126)*9.81*B127 + J126, 0)</f>
        <v>0</v>
      </c>
      <c r="K127">
        <f>IF(ABS(E127-E126) &gt; $P$2, 1/2*(E127+E126)*9.81*B127 + K126, 0)</f>
        <v>0</v>
      </c>
      <c r="L127">
        <f>IF(ABS(F127-F126) &gt; $P$2, 1/2*(F127+F126)*9.81*B127 + L126, 0)</f>
        <v>0</v>
      </c>
      <c r="M127">
        <f t="shared" si="14"/>
        <v>0</v>
      </c>
      <c r="N127">
        <f t="shared" si="15"/>
        <v>0</v>
      </c>
      <c r="O127">
        <f t="shared" si="16"/>
        <v>-6.1804545075000002E-2</v>
      </c>
      <c r="Q127">
        <v>34.799999999999997</v>
      </c>
      <c r="R127">
        <v>11.340999999999999</v>
      </c>
      <c r="S127">
        <f t="shared" si="17"/>
        <v>2.7099999999999937</v>
      </c>
      <c r="T127">
        <f>SQRT(O127*O127)*100</f>
        <v>6.1804545075000004</v>
      </c>
    </row>
    <row r="128" spans="1:20" x14ac:dyDescent="0.3">
      <c r="A128">
        <v>9807635</v>
      </c>
      <c r="B128">
        <f t="shared" si="9"/>
        <v>9.0999999999999998E-2</v>
      </c>
      <c r="C128">
        <f t="shared" si="10"/>
        <v>11.432</v>
      </c>
      <c r="D128">
        <v>-0.69</v>
      </c>
      <c r="E128">
        <v>0.01</v>
      </c>
      <c r="F128">
        <v>-0.75</v>
      </c>
      <c r="G128">
        <f t="shared" si="11"/>
        <v>9.9999999999998979E-3</v>
      </c>
      <c r="H128">
        <f t="shared" si="12"/>
        <v>0</v>
      </c>
      <c r="I128">
        <f t="shared" si="13"/>
        <v>1.0000000000000009E-2</v>
      </c>
      <c r="J128">
        <f>IF(ABS(D128-D127) &gt; $P$2, 1/2*(D128+D127)*9.81*B128 + J127, 0)</f>
        <v>0</v>
      </c>
      <c r="K128">
        <f>IF(ABS(E128-E127) &gt; $P$2, 1/2*(E128+E127)*9.81*B128 + K127, 0)</f>
        <v>0</v>
      </c>
      <c r="L128">
        <f>IF(ABS(F128-F127) &gt; $P$2, 1/2*(F128+F127)*9.81*B128 + L127, 0)</f>
        <v>0</v>
      </c>
      <c r="M128">
        <f t="shared" si="14"/>
        <v>0</v>
      </c>
      <c r="N128">
        <f t="shared" si="15"/>
        <v>0</v>
      </c>
      <c r="O128">
        <f t="shared" si="16"/>
        <v>-6.1804545075000002E-2</v>
      </c>
      <c r="Q128">
        <v>35</v>
      </c>
      <c r="R128">
        <v>11.432</v>
      </c>
      <c r="S128">
        <f t="shared" si="17"/>
        <v>2.9099999999999966</v>
      </c>
      <c r="T128">
        <f>SQRT(O128*O128)*100</f>
        <v>6.1804545075000004</v>
      </c>
    </row>
    <row r="129" spans="1:20" x14ac:dyDescent="0.3">
      <c r="A129">
        <v>9807726</v>
      </c>
      <c r="B129">
        <f t="shared" si="9"/>
        <v>9.0999999999999998E-2</v>
      </c>
      <c r="C129">
        <f t="shared" si="10"/>
        <v>11.523</v>
      </c>
      <c r="D129">
        <v>-0.67</v>
      </c>
      <c r="E129">
        <v>0</v>
      </c>
      <c r="F129">
        <v>-0.74</v>
      </c>
      <c r="G129">
        <f t="shared" si="11"/>
        <v>1.9999999999999907E-2</v>
      </c>
      <c r="H129">
        <f t="shared" si="12"/>
        <v>0.01</v>
      </c>
      <c r="I129">
        <f t="shared" si="13"/>
        <v>1.0000000000000009E-2</v>
      </c>
      <c r="J129">
        <f>IF(ABS(D129-D128) &gt; $P$2, 1/2*(D129+D128)*9.81*B129 + J128, 0)</f>
        <v>0</v>
      </c>
      <c r="K129">
        <f>IF(ABS(E129-E128) &gt; $P$2, 1/2*(E129+E128)*9.81*B129 + K128, 0)</f>
        <v>0</v>
      </c>
      <c r="L129">
        <f>IF(ABS(F129-F128) &gt; $P$2, 1/2*(F129+F128)*9.81*B129 + L128, 0)</f>
        <v>0</v>
      </c>
      <c r="M129">
        <f t="shared" si="14"/>
        <v>0</v>
      </c>
      <c r="N129">
        <f t="shared" si="15"/>
        <v>0</v>
      </c>
      <c r="O129">
        <f t="shared" si="16"/>
        <v>-6.1804545075000002E-2</v>
      </c>
      <c r="Q129">
        <v>36.25</v>
      </c>
      <c r="R129">
        <v>11.523</v>
      </c>
      <c r="S129">
        <f t="shared" si="17"/>
        <v>4.1599999999999966</v>
      </c>
      <c r="T129">
        <f>SQRT(O129*O129)*100</f>
        <v>6.1804545075000004</v>
      </c>
    </row>
    <row r="130" spans="1:20" x14ac:dyDescent="0.3">
      <c r="A130">
        <v>9807816</v>
      </c>
      <c r="B130">
        <f t="shared" si="9"/>
        <v>0.09</v>
      </c>
      <c r="C130">
        <f t="shared" si="10"/>
        <v>11.613</v>
      </c>
      <c r="D130">
        <v>-0.68</v>
      </c>
      <c r="E130">
        <v>0.01</v>
      </c>
      <c r="F130">
        <v>-0.73</v>
      </c>
      <c r="G130">
        <f t="shared" si="11"/>
        <v>1.0000000000000009E-2</v>
      </c>
      <c r="H130">
        <f t="shared" si="12"/>
        <v>0.01</v>
      </c>
      <c r="I130">
        <f t="shared" si="13"/>
        <v>1.0000000000000009E-2</v>
      </c>
      <c r="J130">
        <f>IF(ABS(D130-D129) &gt; $P$2, 1/2*(D130+D129)*9.81*B130 + J129, 0)</f>
        <v>0</v>
      </c>
      <c r="K130">
        <f>IF(ABS(E130-E129) &gt; $P$2, 1/2*(E130+E129)*9.81*B130 + K129, 0)</f>
        <v>0</v>
      </c>
      <c r="L130">
        <f>IF(ABS(F130-F129) &gt; $P$2, 1/2*(F130+F129)*9.81*B130 + L129, 0)</f>
        <v>0</v>
      </c>
      <c r="M130">
        <f t="shared" si="14"/>
        <v>0</v>
      </c>
      <c r="N130">
        <f t="shared" si="15"/>
        <v>0</v>
      </c>
      <c r="O130">
        <f t="shared" si="16"/>
        <v>-6.1804545075000002E-2</v>
      </c>
      <c r="Q130">
        <v>36.25</v>
      </c>
      <c r="R130">
        <v>11.613</v>
      </c>
      <c r="S130">
        <f t="shared" si="17"/>
        <v>4.1599999999999966</v>
      </c>
      <c r="T130">
        <f>SQRT(O130*O130)*100</f>
        <v>6.1804545075000004</v>
      </c>
    </row>
    <row r="131" spans="1:20" x14ac:dyDescent="0.3">
      <c r="A131">
        <v>9807907</v>
      </c>
      <c r="B131">
        <f t="shared" si="9"/>
        <v>9.0999999999999998E-2</v>
      </c>
      <c r="C131">
        <f t="shared" si="10"/>
        <v>11.704000000000001</v>
      </c>
      <c r="D131">
        <v>-0.67</v>
      </c>
      <c r="E131">
        <v>0.03</v>
      </c>
      <c r="F131">
        <v>-0.73</v>
      </c>
      <c r="G131">
        <f t="shared" si="11"/>
        <v>1.0000000000000009E-2</v>
      </c>
      <c r="H131">
        <f t="shared" si="12"/>
        <v>1.9999999999999997E-2</v>
      </c>
      <c r="I131">
        <f t="shared" si="13"/>
        <v>0</v>
      </c>
      <c r="J131">
        <f>IF(ABS(D131-D130) &gt; $P$2, 1/2*(D131+D130)*9.81*B131 + J130, 0)</f>
        <v>0</v>
      </c>
      <c r="K131">
        <f>IF(ABS(E131-E130) &gt; $P$2, 1/2*(E131+E130)*9.81*B131 + K130, 0)</f>
        <v>0</v>
      </c>
      <c r="L131">
        <f>IF(ABS(F131-F130) &gt; $P$2, 1/2*(F131+F130)*9.81*B131 + L130, 0)</f>
        <v>0</v>
      </c>
      <c r="M131">
        <f t="shared" si="14"/>
        <v>0</v>
      </c>
      <c r="N131">
        <f t="shared" si="15"/>
        <v>0</v>
      </c>
      <c r="O131">
        <f t="shared" si="16"/>
        <v>-6.1804545075000002E-2</v>
      </c>
      <c r="Q131">
        <v>37.090000000000003</v>
      </c>
      <c r="R131">
        <v>11.704000000000001</v>
      </c>
      <c r="S131">
        <f t="shared" si="17"/>
        <v>5</v>
      </c>
      <c r="T131">
        <f>SQRT(O131*O131)*100</f>
        <v>6.1804545075000004</v>
      </c>
    </row>
    <row r="132" spans="1:20" x14ac:dyDescent="0.3">
      <c r="A132">
        <v>9807997</v>
      </c>
      <c r="B132">
        <f t="shared" ref="B132:B195" si="18">(A132-A131)/1000</f>
        <v>0.09</v>
      </c>
      <c r="C132">
        <f t="shared" ref="C132:C195" si="19">(A132-$A$2)/1000</f>
        <v>11.794</v>
      </c>
      <c r="D132">
        <v>-0.69</v>
      </c>
      <c r="E132">
        <v>0.01</v>
      </c>
      <c r="F132">
        <v>-0.73</v>
      </c>
      <c r="G132">
        <f t="shared" ref="G132:G195" si="20">ABS(D132-D131)</f>
        <v>1.9999999999999907E-2</v>
      </c>
      <c r="H132">
        <f t="shared" ref="H132:H195" si="21">ABS(E132-E131)</f>
        <v>1.9999999999999997E-2</v>
      </c>
      <c r="I132">
        <f t="shared" ref="I132:I195" si="22">ABS(F132-F131)</f>
        <v>0</v>
      </c>
      <c r="J132">
        <f>IF(ABS(D132-D131) &gt; $P$2, 1/2*(D132+D131)*9.81*B132 + J131, 0)</f>
        <v>0</v>
      </c>
      <c r="K132">
        <f>IF(ABS(E132-E131) &gt; $P$2, 1/2*(E132+E131)*9.81*B132 + K131, 0)</f>
        <v>0</v>
      </c>
      <c r="L132">
        <f>IF(ABS(F132-F131) &gt; $P$2, 1/2*(F132+F131)*9.81*B132 + L131, 0)</f>
        <v>0</v>
      </c>
      <c r="M132">
        <f t="shared" ref="M132:M195" si="23">1/2*(J132+J131)*B132 + M131</f>
        <v>0</v>
      </c>
      <c r="N132">
        <f t="shared" ref="N132:N195" si="24">1/2*(K132+K131)*B132 + N131</f>
        <v>0</v>
      </c>
      <c r="O132">
        <f t="shared" ref="O132:O195" si="25">1/2*(L132+L131)*B132 + O131</f>
        <v>-6.1804545075000002E-2</v>
      </c>
      <c r="Q132">
        <v>37.92</v>
      </c>
      <c r="R132">
        <v>11.794</v>
      </c>
      <c r="S132">
        <f t="shared" ref="S132:S195" si="26">Q132-$Q$2</f>
        <v>5.8299999999999983</v>
      </c>
      <c r="T132">
        <f>SQRT(O132*O132)*100</f>
        <v>6.1804545075000004</v>
      </c>
    </row>
    <row r="133" spans="1:20" x14ac:dyDescent="0.3">
      <c r="A133">
        <v>9808089</v>
      </c>
      <c r="B133">
        <f t="shared" si="18"/>
        <v>9.1999999999999998E-2</v>
      </c>
      <c r="C133">
        <f t="shared" si="19"/>
        <v>11.885999999999999</v>
      </c>
      <c r="D133">
        <v>-0.7</v>
      </c>
      <c r="E133">
        <v>0.01</v>
      </c>
      <c r="F133">
        <v>-0.76</v>
      </c>
      <c r="G133">
        <f t="shared" si="20"/>
        <v>1.0000000000000009E-2</v>
      </c>
      <c r="H133">
        <f t="shared" si="21"/>
        <v>0</v>
      </c>
      <c r="I133">
        <f t="shared" si="22"/>
        <v>3.0000000000000027E-2</v>
      </c>
      <c r="J133">
        <f>IF(ABS(D133-D132) &gt; $P$2, 1/2*(D133+D132)*9.81*B133 + J132, 0)</f>
        <v>0</v>
      </c>
      <c r="K133">
        <f>IF(ABS(E133-E132) &gt; $P$2, 1/2*(E133+E132)*9.81*B133 + K132, 0)</f>
        <v>0</v>
      </c>
      <c r="L133">
        <f>IF(ABS(F133-F132) &gt; $P$2, 1/2*(F133+F132)*9.81*B133 + L132, 0)</f>
        <v>-0.67237740000000001</v>
      </c>
      <c r="M133">
        <f t="shared" si="23"/>
        <v>0</v>
      </c>
      <c r="N133">
        <f t="shared" si="24"/>
        <v>0</v>
      </c>
      <c r="O133">
        <f t="shared" si="25"/>
        <v>-9.2733905475000003E-2</v>
      </c>
      <c r="Q133">
        <v>39.590000000000003</v>
      </c>
      <c r="R133">
        <v>11.885999999999999</v>
      </c>
      <c r="S133">
        <f t="shared" si="26"/>
        <v>7.5</v>
      </c>
      <c r="T133">
        <f>SQRT(O133*O133)*100</f>
        <v>9.2733905475</v>
      </c>
    </row>
    <row r="134" spans="1:20" x14ac:dyDescent="0.3">
      <c r="A134">
        <v>9808180</v>
      </c>
      <c r="B134">
        <f t="shared" si="18"/>
        <v>9.0999999999999998E-2</v>
      </c>
      <c r="C134">
        <f t="shared" si="19"/>
        <v>11.977</v>
      </c>
      <c r="D134">
        <v>-0.69</v>
      </c>
      <c r="E134">
        <v>0.01</v>
      </c>
      <c r="F134">
        <v>-0.74</v>
      </c>
      <c r="G134">
        <f t="shared" si="20"/>
        <v>1.0000000000000009E-2</v>
      </c>
      <c r="H134">
        <f t="shared" si="21"/>
        <v>0</v>
      </c>
      <c r="I134">
        <f t="shared" si="22"/>
        <v>2.0000000000000018E-2</v>
      </c>
      <c r="J134">
        <f>IF(ABS(D134-D133) &gt; $P$2, 1/2*(D134+D133)*9.81*B134 + J133, 0)</f>
        <v>0</v>
      </c>
      <c r="K134">
        <f>IF(ABS(E134-E133) &gt; $P$2, 1/2*(E134+E133)*9.81*B134 + K133, 0)</f>
        <v>0</v>
      </c>
      <c r="L134">
        <f>IF(ABS(F134-F133) &gt; $P$2, 1/2*(F134+F133)*9.81*B134 + L133, 0)</f>
        <v>0</v>
      </c>
      <c r="M134">
        <f t="shared" si="23"/>
        <v>0</v>
      </c>
      <c r="N134">
        <f t="shared" si="24"/>
        <v>0</v>
      </c>
      <c r="O134">
        <f t="shared" si="25"/>
        <v>-0.12332707717500001</v>
      </c>
      <c r="Q134">
        <v>40.840000000000003</v>
      </c>
      <c r="R134">
        <v>11.977</v>
      </c>
      <c r="S134">
        <f t="shared" si="26"/>
        <v>8.75</v>
      </c>
      <c r="T134">
        <f>SQRT(O134*O134)*100</f>
        <v>12.3327077175</v>
      </c>
    </row>
    <row r="135" spans="1:20" x14ac:dyDescent="0.3">
      <c r="A135">
        <v>9808270</v>
      </c>
      <c r="B135">
        <f t="shared" si="18"/>
        <v>0.09</v>
      </c>
      <c r="C135">
        <f t="shared" si="19"/>
        <v>12.067</v>
      </c>
      <c r="D135">
        <v>-0.69</v>
      </c>
      <c r="E135">
        <v>0.01</v>
      </c>
      <c r="F135">
        <v>-0.75</v>
      </c>
      <c r="G135">
        <f t="shared" si="20"/>
        <v>0</v>
      </c>
      <c r="H135">
        <f t="shared" si="21"/>
        <v>0</v>
      </c>
      <c r="I135">
        <f t="shared" si="22"/>
        <v>1.0000000000000009E-2</v>
      </c>
      <c r="J135">
        <f>IF(ABS(D135-D134) &gt; $P$2, 1/2*(D135+D134)*9.81*B135 + J134, 0)</f>
        <v>0</v>
      </c>
      <c r="K135">
        <f>IF(ABS(E135-E134) &gt; $P$2, 1/2*(E135+E134)*9.81*B135 + K134, 0)</f>
        <v>0</v>
      </c>
      <c r="L135">
        <f>IF(ABS(F135-F134) &gt; $P$2, 1/2*(F135+F134)*9.81*B135 + L134, 0)</f>
        <v>0</v>
      </c>
      <c r="M135">
        <f t="shared" si="23"/>
        <v>0</v>
      </c>
      <c r="N135">
        <f t="shared" si="24"/>
        <v>0</v>
      </c>
      <c r="O135">
        <f t="shared" si="25"/>
        <v>-0.12332707717500001</v>
      </c>
      <c r="Q135">
        <v>41.25</v>
      </c>
      <c r="R135">
        <v>12.067</v>
      </c>
      <c r="S135">
        <f t="shared" si="26"/>
        <v>9.1599999999999966</v>
      </c>
      <c r="T135">
        <f>SQRT(O135*O135)*100</f>
        <v>12.3327077175</v>
      </c>
    </row>
    <row r="136" spans="1:20" x14ac:dyDescent="0.3">
      <c r="A136">
        <v>9808361</v>
      </c>
      <c r="B136">
        <f t="shared" si="18"/>
        <v>9.0999999999999998E-2</v>
      </c>
      <c r="C136">
        <f t="shared" si="19"/>
        <v>12.157999999999999</v>
      </c>
      <c r="D136">
        <v>-0.69</v>
      </c>
      <c r="E136">
        <v>0.02</v>
      </c>
      <c r="F136">
        <v>-0.76</v>
      </c>
      <c r="G136">
        <f t="shared" si="20"/>
        <v>0</v>
      </c>
      <c r="H136">
        <f t="shared" si="21"/>
        <v>0.01</v>
      </c>
      <c r="I136">
        <f t="shared" si="22"/>
        <v>1.0000000000000009E-2</v>
      </c>
      <c r="J136">
        <f>IF(ABS(D136-D135) &gt; $P$2, 1/2*(D136+D135)*9.81*B136 + J135, 0)</f>
        <v>0</v>
      </c>
      <c r="K136">
        <f>IF(ABS(E136-E135) &gt; $P$2, 1/2*(E136+E135)*9.81*B136 + K135, 0)</f>
        <v>0</v>
      </c>
      <c r="L136">
        <f>IF(ABS(F136-F135) &gt; $P$2, 1/2*(F136+F135)*9.81*B136 + L135, 0)</f>
        <v>0</v>
      </c>
      <c r="M136">
        <f t="shared" si="23"/>
        <v>0</v>
      </c>
      <c r="N136">
        <f t="shared" si="24"/>
        <v>0</v>
      </c>
      <c r="O136">
        <f t="shared" si="25"/>
        <v>-0.12332707717500001</v>
      </c>
      <c r="Q136">
        <v>42.92</v>
      </c>
      <c r="R136">
        <v>12.157999999999999</v>
      </c>
      <c r="S136">
        <f t="shared" si="26"/>
        <v>10.829999999999998</v>
      </c>
      <c r="T136">
        <f>SQRT(O136*O136)*100</f>
        <v>12.3327077175</v>
      </c>
    </row>
    <row r="137" spans="1:20" x14ac:dyDescent="0.3">
      <c r="A137">
        <v>9808451</v>
      </c>
      <c r="B137">
        <f t="shared" si="18"/>
        <v>0.09</v>
      </c>
      <c r="C137">
        <f t="shared" si="19"/>
        <v>12.247999999999999</v>
      </c>
      <c r="D137">
        <v>-0.68</v>
      </c>
      <c r="E137">
        <v>0.03</v>
      </c>
      <c r="F137">
        <v>-0.75</v>
      </c>
      <c r="G137">
        <f t="shared" si="20"/>
        <v>9.9999999999998979E-3</v>
      </c>
      <c r="H137">
        <f t="shared" si="21"/>
        <v>9.9999999999999985E-3</v>
      </c>
      <c r="I137">
        <f t="shared" si="22"/>
        <v>1.0000000000000009E-2</v>
      </c>
      <c r="J137">
        <f>IF(ABS(D137-D136) &gt; $P$2, 1/2*(D137+D136)*9.81*B137 + J136, 0)</f>
        <v>0</v>
      </c>
      <c r="K137">
        <f>IF(ABS(E137-E136) &gt; $P$2, 1/2*(E137+E136)*9.81*B137 + K136, 0)</f>
        <v>0</v>
      </c>
      <c r="L137">
        <f>IF(ABS(F137-F136) &gt; $P$2, 1/2*(F137+F136)*9.81*B137 + L136, 0)</f>
        <v>0</v>
      </c>
      <c r="M137">
        <f t="shared" si="23"/>
        <v>0</v>
      </c>
      <c r="N137">
        <f t="shared" si="24"/>
        <v>0</v>
      </c>
      <c r="O137">
        <f t="shared" si="25"/>
        <v>-0.12332707717500001</v>
      </c>
      <c r="Q137">
        <v>43.96</v>
      </c>
      <c r="R137">
        <v>12.247999999999999</v>
      </c>
      <c r="S137">
        <f t="shared" si="26"/>
        <v>11.869999999999997</v>
      </c>
      <c r="T137">
        <f>SQRT(O137*O137)*100</f>
        <v>12.3327077175</v>
      </c>
    </row>
    <row r="138" spans="1:20" x14ac:dyDescent="0.3">
      <c r="A138">
        <v>9808542</v>
      </c>
      <c r="B138">
        <f t="shared" si="18"/>
        <v>9.0999999999999998E-2</v>
      </c>
      <c r="C138">
        <f t="shared" si="19"/>
        <v>12.339</v>
      </c>
      <c r="D138">
        <v>-0.69</v>
      </c>
      <c r="E138">
        <v>0.02</v>
      </c>
      <c r="F138">
        <v>-0.74</v>
      </c>
      <c r="G138">
        <f t="shared" si="20"/>
        <v>9.9999999999998979E-3</v>
      </c>
      <c r="H138">
        <f t="shared" si="21"/>
        <v>9.9999999999999985E-3</v>
      </c>
      <c r="I138">
        <f t="shared" si="22"/>
        <v>1.0000000000000009E-2</v>
      </c>
      <c r="J138">
        <f>IF(ABS(D138-D137) &gt; $P$2, 1/2*(D138+D137)*9.81*B138 + J137, 0)</f>
        <v>0</v>
      </c>
      <c r="K138">
        <f>IF(ABS(E138-E137) &gt; $P$2, 1/2*(E138+E137)*9.81*B138 + K137, 0)</f>
        <v>0</v>
      </c>
      <c r="L138">
        <f>IF(ABS(F138-F137) &gt; $P$2, 1/2*(F138+F137)*9.81*B138 + L137, 0)</f>
        <v>0</v>
      </c>
      <c r="M138">
        <f t="shared" si="23"/>
        <v>0</v>
      </c>
      <c r="N138">
        <f t="shared" si="24"/>
        <v>0</v>
      </c>
      <c r="O138">
        <f t="shared" si="25"/>
        <v>-0.12332707717500001</v>
      </c>
      <c r="Q138">
        <v>45.63</v>
      </c>
      <c r="R138">
        <v>12.339</v>
      </c>
      <c r="S138">
        <f t="shared" si="26"/>
        <v>13.54</v>
      </c>
      <c r="T138">
        <f>SQRT(O138*O138)*100</f>
        <v>12.3327077175</v>
      </c>
    </row>
    <row r="139" spans="1:20" x14ac:dyDescent="0.3">
      <c r="A139">
        <v>9808633</v>
      </c>
      <c r="B139">
        <f t="shared" si="18"/>
        <v>9.0999999999999998E-2</v>
      </c>
      <c r="C139">
        <f t="shared" si="19"/>
        <v>12.43</v>
      </c>
      <c r="D139">
        <v>-0.69</v>
      </c>
      <c r="E139">
        <v>0.02</v>
      </c>
      <c r="F139">
        <v>-0.77</v>
      </c>
      <c r="G139">
        <f t="shared" si="20"/>
        <v>0</v>
      </c>
      <c r="H139">
        <f t="shared" si="21"/>
        <v>0</v>
      </c>
      <c r="I139">
        <f t="shared" si="22"/>
        <v>3.0000000000000027E-2</v>
      </c>
      <c r="J139">
        <f>IF(ABS(D139-D138) &gt; $P$2, 1/2*(D139+D138)*9.81*B139 + J138, 0)</f>
        <v>0</v>
      </c>
      <c r="K139">
        <f>IF(ABS(E139-E138) &gt; $P$2, 1/2*(E139+E138)*9.81*B139 + K138, 0)</f>
        <v>0</v>
      </c>
      <c r="L139">
        <f>IF(ABS(F139-F138) &gt; $P$2, 1/2*(F139+F138)*9.81*B139 + L138, 0)</f>
        <v>-0.67399604999999996</v>
      </c>
      <c r="M139">
        <f t="shared" si="23"/>
        <v>0</v>
      </c>
      <c r="N139">
        <f t="shared" si="24"/>
        <v>0</v>
      </c>
      <c r="O139">
        <f t="shared" si="25"/>
        <v>-0.15399389745</v>
      </c>
      <c r="Q139">
        <v>46.88</v>
      </c>
      <c r="R139">
        <v>12.43</v>
      </c>
      <c r="S139">
        <f t="shared" si="26"/>
        <v>14.79</v>
      </c>
      <c r="T139">
        <f>SQRT(O139*O139)*100</f>
        <v>15.399389745000001</v>
      </c>
    </row>
    <row r="140" spans="1:20" x14ac:dyDescent="0.3">
      <c r="A140">
        <v>9808723</v>
      </c>
      <c r="B140">
        <f t="shared" si="18"/>
        <v>0.09</v>
      </c>
      <c r="C140">
        <f t="shared" si="19"/>
        <v>12.52</v>
      </c>
      <c r="D140">
        <v>-0.69</v>
      </c>
      <c r="E140">
        <v>0.01</v>
      </c>
      <c r="F140">
        <v>-0.75</v>
      </c>
      <c r="G140">
        <f t="shared" si="20"/>
        <v>0</v>
      </c>
      <c r="H140">
        <f t="shared" si="21"/>
        <v>0.01</v>
      </c>
      <c r="I140">
        <f t="shared" si="22"/>
        <v>2.0000000000000018E-2</v>
      </c>
      <c r="J140">
        <f>IF(ABS(D140-D139) &gt; $P$2, 1/2*(D140+D139)*9.81*B140 + J139, 0)</f>
        <v>0</v>
      </c>
      <c r="K140">
        <f>IF(ABS(E140-E139) &gt; $P$2, 1/2*(E140+E139)*9.81*B140 + K139, 0)</f>
        <v>0</v>
      </c>
      <c r="L140">
        <f>IF(ABS(F140-F139) &gt; $P$2, 1/2*(F140+F139)*9.81*B140 + L139, 0)</f>
        <v>0</v>
      </c>
      <c r="M140">
        <f t="shared" si="23"/>
        <v>0</v>
      </c>
      <c r="N140">
        <f t="shared" si="24"/>
        <v>0</v>
      </c>
      <c r="O140">
        <f t="shared" si="25"/>
        <v>-0.1843237197</v>
      </c>
      <c r="Q140">
        <v>47.92</v>
      </c>
      <c r="R140">
        <v>12.52</v>
      </c>
      <c r="S140">
        <f t="shared" si="26"/>
        <v>15.829999999999998</v>
      </c>
      <c r="T140">
        <f>SQRT(O140*O140)*100</f>
        <v>18.432371969999998</v>
      </c>
    </row>
    <row r="141" spans="1:20" x14ac:dyDescent="0.3">
      <c r="A141">
        <v>9808815</v>
      </c>
      <c r="B141">
        <f t="shared" si="18"/>
        <v>9.1999999999999998E-2</v>
      </c>
      <c r="C141">
        <f t="shared" si="19"/>
        <v>12.612</v>
      </c>
      <c r="D141">
        <v>-0.69</v>
      </c>
      <c r="E141">
        <v>0.01</v>
      </c>
      <c r="F141">
        <v>-0.75</v>
      </c>
      <c r="G141">
        <f t="shared" si="20"/>
        <v>0</v>
      </c>
      <c r="H141">
        <f t="shared" si="21"/>
        <v>0</v>
      </c>
      <c r="I141">
        <f t="shared" si="22"/>
        <v>0</v>
      </c>
      <c r="J141">
        <f>IF(ABS(D141-D140) &gt; $P$2, 1/2*(D141+D140)*9.81*B141 + J140, 0)</f>
        <v>0</v>
      </c>
      <c r="K141">
        <f>IF(ABS(E141-E140) &gt; $P$2, 1/2*(E141+E140)*9.81*B141 + K140, 0)</f>
        <v>0</v>
      </c>
      <c r="L141">
        <f>IF(ABS(F141-F140) &gt; $P$2, 1/2*(F141+F140)*9.81*B141 + L140, 0)</f>
        <v>0</v>
      </c>
      <c r="M141">
        <f t="shared" si="23"/>
        <v>0</v>
      </c>
      <c r="N141">
        <f t="shared" si="24"/>
        <v>0</v>
      </c>
      <c r="O141">
        <f t="shared" si="25"/>
        <v>-0.1843237197</v>
      </c>
      <c r="Q141">
        <v>49.38</v>
      </c>
      <c r="R141">
        <v>12.612</v>
      </c>
      <c r="S141">
        <f t="shared" si="26"/>
        <v>17.29</v>
      </c>
      <c r="T141">
        <f>SQRT(O141*O141)*100</f>
        <v>18.432371969999998</v>
      </c>
    </row>
    <row r="142" spans="1:20" x14ac:dyDescent="0.3">
      <c r="A142">
        <v>9808906</v>
      </c>
      <c r="B142">
        <f t="shared" si="18"/>
        <v>9.0999999999999998E-2</v>
      </c>
      <c r="C142">
        <f t="shared" si="19"/>
        <v>12.702999999999999</v>
      </c>
      <c r="D142">
        <v>-0.68</v>
      </c>
      <c r="E142">
        <v>0.01</v>
      </c>
      <c r="F142">
        <v>-0.75</v>
      </c>
      <c r="G142">
        <f t="shared" si="20"/>
        <v>9.9999999999998979E-3</v>
      </c>
      <c r="H142">
        <f t="shared" si="21"/>
        <v>0</v>
      </c>
      <c r="I142">
        <f t="shared" si="22"/>
        <v>0</v>
      </c>
      <c r="J142">
        <f>IF(ABS(D142-D141) &gt; $P$2, 1/2*(D142+D141)*9.81*B142 + J141, 0)</f>
        <v>0</v>
      </c>
      <c r="K142">
        <f>IF(ABS(E142-E141) &gt; $P$2, 1/2*(E142+E141)*9.81*B142 + K141, 0)</f>
        <v>0</v>
      </c>
      <c r="L142">
        <f>IF(ABS(F142-F141) &gt; $P$2, 1/2*(F142+F141)*9.81*B142 + L141, 0)</f>
        <v>0</v>
      </c>
      <c r="M142">
        <f t="shared" si="23"/>
        <v>0</v>
      </c>
      <c r="N142">
        <f t="shared" si="24"/>
        <v>0</v>
      </c>
      <c r="O142">
        <f t="shared" si="25"/>
        <v>-0.1843237197</v>
      </c>
      <c r="Q142">
        <v>51.05</v>
      </c>
      <c r="R142">
        <v>12.702999999999999</v>
      </c>
      <c r="S142">
        <f t="shared" si="26"/>
        <v>18.959999999999994</v>
      </c>
      <c r="T142">
        <f>SQRT(O142*O142)*100</f>
        <v>18.432371969999998</v>
      </c>
    </row>
    <row r="143" spans="1:20" x14ac:dyDescent="0.3">
      <c r="A143">
        <v>9808996</v>
      </c>
      <c r="B143">
        <f t="shared" si="18"/>
        <v>0.09</v>
      </c>
      <c r="C143">
        <f t="shared" si="19"/>
        <v>12.792999999999999</v>
      </c>
      <c r="D143">
        <v>-0.68</v>
      </c>
      <c r="E143">
        <v>0.01</v>
      </c>
      <c r="F143">
        <v>-0.76</v>
      </c>
      <c r="G143">
        <f t="shared" si="20"/>
        <v>0</v>
      </c>
      <c r="H143">
        <f t="shared" si="21"/>
        <v>0</v>
      </c>
      <c r="I143">
        <f t="shared" si="22"/>
        <v>1.0000000000000009E-2</v>
      </c>
      <c r="J143">
        <f>IF(ABS(D143-D142) &gt; $P$2, 1/2*(D143+D142)*9.81*B143 + J142, 0)</f>
        <v>0</v>
      </c>
      <c r="K143">
        <f>IF(ABS(E143-E142) &gt; $P$2, 1/2*(E143+E142)*9.81*B143 + K142, 0)</f>
        <v>0</v>
      </c>
      <c r="L143">
        <f>IF(ABS(F143-F142) &gt; $P$2, 1/2*(F143+F142)*9.81*B143 + L142, 0)</f>
        <v>0</v>
      </c>
      <c r="M143">
        <f t="shared" si="23"/>
        <v>0</v>
      </c>
      <c r="N143">
        <f t="shared" si="24"/>
        <v>0</v>
      </c>
      <c r="O143">
        <f t="shared" si="25"/>
        <v>-0.1843237197</v>
      </c>
      <c r="Q143">
        <v>52.3</v>
      </c>
      <c r="R143">
        <v>12.792999999999999</v>
      </c>
      <c r="S143">
        <f t="shared" si="26"/>
        <v>20.209999999999994</v>
      </c>
      <c r="T143">
        <f>SQRT(O143*O143)*100</f>
        <v>18.432371969999998</v>
      </c>
    </row>
    <row r="144" spans="1:20" x14ac:dyDescent="0.3">
      <c r="A144">
        <v>9809087</v>
      </c>
      <c r="B144">
        <f t="shared" si="18"/>
        <v>9.0999999999999998E-2</v>
      </c>
      <c r="C144">
        <f t="shared" si="19"/>
        <v>12.884</v>
      </c>
      <c r="D144">
        <v>-0.67</v>
      </c>
      <c r="E144">
        <v>0.02</v>
      </c>
      <c r="F144">
        <v>-0.76</v>
      </c>
      <c r="G144">
        <f t="shared" si="20"/>
        <v>1.0000000000000009E-2</v>
      </c>
      <c r="H144">
        <f t="shared" si="21"/>
        <v>0.01</v>
      </c>
      <c r="I144">
        <f t="shared" si="22"/>
        <v>0</v>
      </c>
      <c r="J144">
        <f>IF(ABS(D144-D143) &gt; $P$2, 1/2*(D144+D143)*9.81*B144 + J143, 0)</f>
        <v>0</v>
      </c>
      <c r="K144">
        <f>IF(ABS(E144-E143) &gt; $P$2, 1/2*(E144+E143)*9.81*B144 + K143, 0)</f>
        <v>0</v>
      </c>
      <c r="L144">
        <f>IF(ABS(F144-F143) &gt; $P$2, 1/2*(F144+F143)*9.81*B144 + L143, 0)</f>
        <v>0</v>
      </c>
      <c r="M144">
        <f t="shared" si="23"/>
        <v>0</v>
      </c>
      <c r="N144">
        <f t="shared" si="24"/>
        <v>0</v>
      </c>
      <c r="O144">
        <f t="shared" si="25"/>
        <v>-0.1843237197</v>
      </c>
      <c r="Q144">
        <v>53.55</v>
      </c>
      <c r="R144">
        <v>12.884</v>
      </c>
      <c r="S144">
        <f t="shared" si="26"/>
        <v>21.459999999999994</v>
      </c>
      <c r="T144">
        <f>SQRT(O144*O144)*100</f>
        <v>18.432371969999998</v>
      </c>
    </row>
    <row r="145" spans="1:20" x14ac:dyDescent="0.3">
      <c r="A145">
        <v>9809177</v>
      </c>
      <c r="B145">
        <f t="shared" si="18"/>
        <v>0.09</v>
      </c>
      <c r="C145">
        <f t="shared" si="19"/>
        <v>12.974</v>
      </c>
      <c r="D145">
        <v>-0.69</v>
      </c>
      <c r="E145">
        <v>0.01</v>
      </c>
      <c r="F145">
        <v>-0.75</v>
      </c>
      <c r="G145">
        <f t="shared" si="20"/>
        <v>1.9999999999999907E-2</v>
      </c>
      <c r="H145">
        <f t="shared" si="21"/>
        <v>0.01</v>
      </c>
      <c r="I145">
        <f t="shared" si="22"/>
        <v>1.0000000000000009E-2</v>
      </c>
      <c r="J145">
        <f>IF(ABS(D145-D144) &gt; $P$2, 1/2*(D145+D144)*9.81*B145 + J144, 0)</f>
        <v>0</v>
      </c>
      <c r="K145">
        <f>IF(ABS(E145-E144) &gt; $P$2, 1/2*(E145+E144)*9.81*B145 + K144, 0)</f>
        <v>0</v>
      </c>
      <c r="L145">
        <f>IF(ABS(F145-F144) &gt; $P$2, 1/2*(F145+F144)*9.81*B145 + L144, 0)</f>
        <v>0</v>
      </c>
      <c r="M145">
        <f t="shared" si="23"/>
        <v>0</v>
      </c>
      <c r="N145">
        <f t="shared" si="24"/>
        <v>0</v>
      </c>
      <c r="O145">
        <f t="shared" si="25"/>
        <v>-0.1843237197</v>
      </c>
      <c r="Q145">
        <v>54.59</v>
      </c>
      <c r="R145">
        <v>12.974</v>
      </c>
      <c r="S145">
        <f t="shared" si="26"/>
        <v>22.5</v>
      </c>
      <c r="T145">
        <f>SQRT(O145*O145)*100</f>
        <v>18.432371969999998</v>
      </c>
    </row>
    <row r="146" spans="1:20" x14ac:dyDescent="0.3">
      <c r="A146">
        <v>9809268</v>
      </c>
      <c r="B146">
        <f t="shared" si="18"/>
        <v>9.0999999999999998E-2</v>
      </c>
      <c r="C146">
        <f t="shared" si="19"/>
        <v>13.065</v>
      </c>
      <c r="D146">
        <v>-0.68</v>
      </c>
      <c r="E146">
        <v>0.02</v>
      </c>
      <c r="F146">
        <v>-0.74</v>
      </c>
      <c r="G146">
        <f t="shared" si="20"/>
        <v>9.9999999999998979E-3</v>
      </c>
      <c r="H146">
        <f t="shared" si="21"/>
        <v>0.01</v>
      </c>
      <c r="I146">
        <f t="shared" si="22"/>
        <v>1.0000000000000009E-2</v>
      </c>
      <c r="J146">
        <f>IF(ABS(D146-D145) &gt; $P$2, 1/2*(D146+D145)*9.81*B146 + J145, 0)</f>
        <v>0</v>
      </c>
      <c r="K146">
        <f>IF(ABS(E146-E145) &gt; $P$2, 1/2*(E146+E145)*9.81*B146 + K145, 0)</f>
        <v>0</v>
      </c>
      <c r="L146">
        <f>IF(ABS(F146-F145) &gt; $P$2, 1/2*(F146+F145)*9.81*B146 + L145, 0)</f>
        <v>0</v>
      </c>
      <c r="M146">
        <f t="shared" si="23"/>
        <v>0</v>
      </c>
      <c r="N146">
        <f t="shared" si="24"/>
        <v>0</v>
      </c>
      <c r="O146">
        <f t="shared" si="25"/>
        <v>-0.1843237197</v>
      </c>
      <c r="Q146">
        <v>56.25</v>
      </c>
      <c r="R146">
        <v>13.065</v>
      </c>
      <c r="S146">
        <f t="shared" si="26"/>
        <v>24.159999999999997</v>
      </c>
      <c r="T146">
        <f>SQRT(O146*O146)*100</f>
        <v>18.432371969999998</v>
      </c>
    </row>
    <row r="147" spans="1:20" x14ac:dyDescent="0.3">
      <c r="A147">
        <v>9809359</v>
      </c>
      <c r="B147">
        <f t="shared" si="18"/>
        <v>9.0999999999999998E-2</v>
      </c>
      <c r="C147">
        <f t="shared" si="19"/>
        <v>13.156000000000001</v>
      </c>
      <c r="D147">
        <v>-0.69</v>
      </c>
      <c r="E147">
        <v>0.01</v>
      </c>
      <c r="F147" s="3">
        <v>-0.77</v>
      </c>
      <c r="G147">
        <f t="shared" si="20"/>
        <v>9.9999999999998979E-3</v>
      </c>
      <c r="H147">
        <f t="shared" si="21"/>
        <v>0.01</v>
      </c>
      <c r="I147">
        <f t="shared" si="22"/>
        <v>3.0000000000000027E-2</v>
      </c>
      <c r="J147">
        <f>IF(ABS(D147-D146) &gt; $P$2, 1/2*(D147+D146)*9.81*B147 + J146, 0)</f>
        <v>0</v>
      </c>
      <c r="K147">
        <f>IF(ABS(E147-E146) &gt; $P$2, 1/2*(E147+E146)*9.81*B147 + K146, 0)</f>
        <v>0</v>
      </c>
      <c r="L147">
        <f>IF(ABS(F147-F146) &gt; $P$2, 1/2*(F147+F146)*9.81*B147 + L146, 0)</f>
        <v>-0.67399604999999996</v>
      </c>
      <c r="M147">
        <f t="shared" si="23"/>
        <v>0</v>
      </c>
      <c r="N147">
        <f t="shared" si="24"/>
        <v>0</v>
      </c>
      <c r="O147">
        <f t="shared" si="25"/>
        <v>-0.21499053997500001</v>
      </c>
      <c r="Q147">
        <v>57.71</v>
      </c>
      <c r="R147">
        <v>13.156000000000001</v>
      </c>
      <c r="S147">
        <f t="shared" si="26"/>
        <v>25.619999999999997</v>
      </c>
      <c r="T147">
        <f>SQRT(O147*O147)*100</f>
        <v>21.499053997499999</v>
      </c>
    </row>
    <row r="148" spans="1:20" x14ac:dyDescent="0.3">
      <c r="A148">
        <v>9809449</v>
      </c>
      <c r="B148">
        <f t="shared" si="18"/>
        <v>0.09</v>
      </c>
      <c r="C148">
        <f t="shared" si="19"/>
        <v>13.246</v>
      </c>
      <c r="D148">
        <v>-0.68</v>
      </c>
      <c r="E148">
        <v>0.01</v>
      </c>
      <c r="F148">
        <v>-0.74</v>
      </c>
      <c r="G148">
        <f t="shared" si="20"/>
        <v>9.9999999999998979E-3</v>
      </c>
      <c r="H148">
        <f t="shared" si="21"/>
        <v>0</v>
      </c>
      <c r="I148">
        <f t="shared" si="22"/>
        <v>3.0000000000000027E-2</v>
      </c>
      <c r="J148">
        <f>IF(ABS(D148-D147) &gt; $P$2, 1/2*(D148+D147)*9.81*B148 + J147, 0)</f>
        <v>0</v>
      </c>
      <c r="K148">
        <f>IF(ABS(E148-E147) &gt; $P$2, 1/2*(E148+E147)*9.81*B148 + K147, 0)</f>
        <v>0</v>
      </c>
      <c r="L148">
        <f>IF(ABS(F148-F147) &gt; $P$2, 1/2*(F148+F147)*9.81*B148 + L147, 0)</f>
        <v>-1.3405855499999999</v>
      </c>
      <c r="M148">
        <f t="shared" si="23"/>
        <v>0</v>
      </c>
      <c r="N148">
        <f t="shared" si="24"/>
        <v>0</v>
      </c>
      <c r="O148">
        <f t="shared" si="25"/>
        <v>-0.30564671197499999</v>
      </c>
      <c r="Q148">
        <v>59.17</v>
      </c>
      <c r="R148">
        <v>13.246</v>
      </c>
      <c r="S148">
        <f t="shared" si="26"/>
        <v>27.08</v>
      </c>
      <c r="T148">
        <f>SQRT(O148*O148)*100</f>
        <v>30.564671197499997</v>
      </c>
    </row>
    <row r="149" spans="1:20" x14ac:dyDescent="0.3">
      <c r="A149">
        <v>9809541</v>
      </c>
      <c r="B149">
        <f t="shared" si="18"/>
        <v>9.1999999999999998E-2</v>
      </c>
      <c r="C149">
        <f t="shared" si="19"/>
        <v>13.337999999999999</v>
      </c>
      <c r="D149">
        <v>-0.68</v>
      </c>
      <c r="E149">
        <v>0.02</v>
      </c>
      <c r="F149">
        <v>-0.75</v>
      </c>
      <c r="G149">
        <f t="shared" si="20"/>
        <v>0</v>
      </c>
      <c r="H149">
        <f t="shared" si="21"/>
        <v>0.01</v>
      </c>
      <c r="I149">
        <f t="shared" si="22"/>
        <v>1.0000000000000009E-2</v>
      </c>
      <c r="J149">
        <f>IF(ABS(D149-D148) &gt; $P$2, 1/2*(D149+D148)*9.81*B149 + J148, 0)</f>
        <v>0</v>
      </c>
      <c r="K149">
        <f>IF(ABS(E149-E148) &gt; $P$2, 1/2*(E149+E148)*9.81*B149 + K148, 0)</f>
        <v>0</v>
      </c>
      <c r="L149">
        <f>IF(ABS(F149-F148) &gt; $P$2, 1/2*(F149+F148)*9.81*B149 + L148, 0)</f>
        <v>0</v>
      </c>
      <c r="M149">
        <f t="shared" si="23"/>
        <v>0</v>
      </c>
      <c r="N149">
        <f t="shared" si="24"/>
        <v>0</v>
      </c>
      <c r="O149">
        <f t="shared" si="25"/>
        <v>-0.36731364727499999</v>
      </c>
      <c r="Q149">
        <v>60</v>
      </c>
      <c r="R149">
        <v>13.337999999999999</v>
      </c>
      <c r="S149">
        <f t="shared" si="26"/>
        <v>27.909999999999997</v>
      </c>
      <c r="T149">
        <f>SQRT(O149*O149)*100</f>
        <v>36.731364727500001</v>
      </c>
    </row>
    <row r="150" spans="1:20" x14ac:dyDescent="0.3">
      <c r="A150">
        <v>9809631</v>
      </c>
      <c r="B150">
        <f t="shared" si="18"/>
        <v>0.09</v>
      </c>
      <c r="C150">
        <f t="shared" si="19"/>
        <v>13.428000000000001</v>
      </c>
      <c r="D150">
        <v>-0.66</v>
      </c>
      <c r="E150">
        <v>0.02</v>
      </c>
      <c r="F150">
        <v>-0.74</v>
      </c>
      <c r="G150">
        <f t="shared" si="20"/>
        <v>2.0000000000000018E-2</v>
      </c>
      <c r="H150">
        <f t="shared" si="21"/>
        <v>0</v>
      </c>
      <c r="I150">
        <f t="shared" si="22"/>
        <v>1.0000000000000009E-2</v>
      </c>
      <c r="J150">
        <f>IF(ABS(D150-D149) &gt; $P$2, 1/2*(D150+D149)*9.81*B150 + J149, 0)</f>
        <v>0</v>
      </c>
      <c r="K150">
        <f>IF(ABS(E150-E149) &gt; $P$2, 1/2*(E150+E149)*9.81*B150 + K149, 0)</f>
        <v>0</v>
      </c>
      <c r="L150">
        <f>IF(ABS(F150-F149) &gt; $P$2, 1/2*(F150+F149)*9.81*B150 + L149, 0)</f>
        <v>0</v>
      </c>
      <c r="M150">
        <f t="shared" si="23"/>
        <v>0</v>
      </c>
      <c r="N150">
        <f t="shared" si="24"/>
        <v>0</v>
      </c>
      <c r="O150">
        <f t="shared" si="25"/>
        <v>-0.36731364727499999</v>
      </c>
      <c r="Q150">
        <v>61.46</v>
      </c>
      <c r="R150">
        <v>13.428000000000001</v>
      </c>
      <c r="S150">
        <f t="shared" si="26"/>
        <v>29.369999999999997</v>
      </c>
      <c r="T150">
        <f>SQRT(O150*O150)*100</f>
        <v>36.731364727500001</v>
      </c>
    </row>
    <row r="151" spans="1:20" x14ac:dyDescent="0.3">
      <c r="A151">
        <v>9809722</v>
      </c>
      <c r="B151">
        <f t="shared" si="18"/>
        <v>9.0999999999999998E-2</v>
      </c>
      <c r="C151">
        <f t="shared" si="19"/>
        <v>13.519</v>
      </c>
      <c r="D151">
        <v>-0.68</v>
      </c>
      <c r="E151">
        <v>0.02</v>
      </c>
      <c r="F151">
        <v>-0.76</v>
      </c>
      <c r="G151">
        <f t="shared" si="20"/>
        <v>2.0000000000000018E-2</v>
      </c>
      <c r="H151">
        <f t="shared" si="21"/>
        <v>0</v>
      </c>
      <c r="I151">
        <f t="shared" si="22"/>
        <v>2.0000000000000018E-2</v>
      </c>
      <c r="J151">
        <f>IF(ABS(D151-D150) &gt; $P$2, 1/2*(D151+D150)*9.81*B151 + J150, 0)</f>
        <v>0</v>
      </c>
      <c r="K151">
        <f>IF(ABS(E151-E150) &gt; $P$2, 1/2*(E151+E150)*9.81*B151 + K150, 0)</f>
        <v>0</v>
      </c>
      <c r="L151">
        <f>IF(ABS(F151-F150) &gt; $P$2, 1/2*(F151+F150)*9.81*B151 + L150, 0)</f>
        <v>0</v>
      </c>
      <c r="M151">
        <f t="shared" si="23"/>
        <v>0</v>
      </c>
      <c r="N151">
        <f t="shared" si="24"/>
        <v>0</v>
      </c>
      <c r="O151">
        <f t="shared" si="25"/>
        <v>-0.36731364727499999</v>
      </c>
      <c r="Q151">
        <v>62.92</v>
      </c>
      <c r="R151">
        <v>13.519</v>
      </c>
      <c r="S151">
        <f t="shared" si="26"/>
        <v>30.83</v>
      </c>
      <c r="T151">
        <f>SQRT(O151*O151)*100</f>
        <v>36.731364727500001</v>
      </c>
    </row>
    <row r="152" spans="1:20" x14ac:dyDescent="0.3">
      <c r="A152">
        <v>9809813</v>
      </c>
      <c r="B152">
        <f t="shared" si="18"/>
        <v>9.0999999999999998E-2</v>
      </c>
      <c r="C152">
        <f t="shared" si="19"/>
        <v>13.61</v>
      </c>
      <c r="D152">
        <v>-0.69</v>
      </c>
      <c r="E152">
        <v>0.02</v>
      </c>
      <c r="F152">
        <v>-0.75</v>
      </c>
      <c r="G152">
        <f t="shared" si="20"/>
        <v>9.9999999999998979E-3</v>
      </c>
      <c r="H152">
        <f t="shared" si="21"/>
        <v>0</v>
      </c>
      <c r="I152">
        <f t="shared" si="22"/>
        <v>1.0000000000000009E-2</v>
      </c>
      <c r="J152">
        <f>IF(ABS(D152-D151) &gt; $P$2, 1/2*(D152+D151)*9.81*B152 + J151, 0)</f>
        <v>0</v>
      </c>
      <c r="K152">
        <f>IF(ABS(E152-E151) &gt; $P$2, 1/2*(E152+E151)*9.81*B152 + K151, 0)</f>
        <v>0</v>
      </c>
      <c r="L152">
        <f>IF(ABS(F152-F151) &gt; $P$2, 1/2*(F152+F151)*9.81*B152 + L151, 0)</f>
        <v>0</v>
      </c>
      <c r="M152">
        <f t="shared" si="23"/>
        <v>0</v>
      </c>
      <c r="N152">
        <f t="shared" si="24"/>
        <v>0</v>
      </c>
      <c r="O152">
        <f t="shared" si="25"/>
        <v>-0.36731364727499999</v>
      </c>
      <c r="Q152">
        <v>63.96</v>
      </c>
      <c r="R152">
        <v>13.61</v>
      </c>
      <c r="S152">
        <f t="shared" si="26"/>
        <v>31.869999999999997</v>
      </c>
      <c r="T152">
        <f>SQRT(O152*O152)*100</f>
        <v>36.731364727500001</v>
      </c>
    </row>
    <row r="153" spans="1:20" x14ac:dyDescent="0.3">
      <c r="A153">
        <v>9809903</v>
      </c>
      <c r="B153">
        <f t="shared" si="18"/>
        <v>0.09</v>
      </c>
      <c r="C153">
        <f t="shared" si="19"/>
        <v>13.7</v>
      </c>
      <c r="D153">
        <v>-0.69</v>
      </c>
      <c r="E153">
        <v>0.02</v>
      </c>
      <c r="F153">
        <v>-0.74</v>
      </c>
      <c r="G153">
        <f t="shared" si="20"/>
        <v>0</v>
      </c>
      <c r="H153">
        <f t="shared" si="21"/>
        <v>0</v>
      </c>
      <c r="I153">
        <f t="shared" si="22"/>
        <v>1.0000000000000009E-2</v>
      </c>
      <c r="J153">
        <f>IF(ABS(D153-D152) &gt; $P$2, 1/2*(D153+D152)*9.81*B153 + J152, 0)</f>
        <v>0</v>
      </c>
      <c r="K153">
        <f>IF(ABS(E153-E152) &gt; $P$2, 1/2*(E153+E152)*9.81*B153 + K152, 0)</f>
        <v>0</v>
      </c>
      <c r="L153">
        <f>IF(ABS(F153-F152) &gt; $P$2, 1/2*(F153+F152)*9.81*B153 + L152, 0)</f>
        <v>0</v>
      </c>
      <c r="M153">
        <f t="shared" si="23"/>
        <v>0</v>
      </c>
      <c r="N153">
        <f t="shared" si="24"/>
        <v>0</v>
      </c>
      <c r="O153">
        <f t="shared" si="25"/>
        <v>-0.36731364727499999</v>
      </c>
      <c r="Q153">
        <v>65</v>
      </c>
      <c r="R153">
        <v>13.7</v>
      </c>
      <c r="S153">
        <f t="shared" si="26"/>
        <v>32.909999999999997</v>
      </c>
      <c r="T153">
        <f>SQRT(O153*O153)*100</f>
        <v>36.731364727500001</v>
      </c>
    </row>
    <row r="154" spans="1:20" x14ac:dyDescent="0.3">
      <c r="A154">
        <v>9809994</v>
      </c>
      <c r="B154">
        <f t="shared" si="18"/>
        <v>9.0999999999999998E-2</v>
      </c>
      <c r="C154">
        <f t="shared" si="19"/>
        <v>13.791</v>
      </c>
      <c r="D154">
        <v>-0.7</v>
      </c>
      <c r="E154">
        <v>0.02</v>
      </c>
      <c r="F154">
        <v>-0.74</v>
      </c>
      <c r="G154">
        <f t="shared" si="20"/>
        <v>1.0000000000000009E-2</v>
      </c>
      <c r="H154">
        <f t="shared" si="21"/>
        <v>0</v>
      </c>
      <c r="I154">
        <f t="shared" si="22"/>
        <v>0</v>
      </c>
      <c r="J154">
        <f>IF(ABS(D154-D153) &gt; $P$2, 1/2*(D154+D153)*9.81*B154 + J153, 0)</f>
        <v>0</v>
      </c>
      <c r="K154">
        <f>IF(ABS(E154-E153) &gt; $P$2, 1/2*(E154+E153)*9.81*B154 + K153, 0)</f>
        <v>0</v>
      </c>
      <c r="L154">
        <f>IF(ABS(F154-F153) &gt; $P$2, 1/2*(F154+F153)*9.81*B154 + L153, 0)</f>
        <v>0</v>
      </c>
      <c r="M154">
        <f t="shared" si="23"/>
        <v>0</v>
      </c>
      <c r="N154">
        <f t="shared" si="24"/>
        <v>0</v>
      </c>
      <c r="O154">
        <f t="shared" si="25"/>
        <v>-0.36731364727499999</v>
      </c>
      <c r="Q154">
        <v>66.459999999999994</v>
      </c>
      <c r="R154">
        <v>13.791</v>
      </c>
      <c r="S154">
        <f t="shared" si="26"/>
        <v>34.36999999999999</v>
      </c>
      <c r="T154">
        <f>SQRT(O154*O154)*100</f>
        <v>36.731364727500001</v>
      </c>
    </row>
    <row r="155" spans="1:20" x14ac:dyDescent="0.3">
      <c r="A155">
        <v>9810085</v>
      </c>
      <c r="B155">
        <f t="shared" si="18"/>
        <v>9.0999999999999998E-2</v>
      </c>
      <c r="C155">
        <f t="shared" si="19"/>
        <v>13.882</v>
      </c>
      <c r="D155">
        <v>-0.69</v>
      </c>
      <c r="E155">
        <v>0.02</v>
      </c>
      <c r="F155">
        <v>-0.77</v>
      </c>
      <c r="G155">
        <f t="shared" si="20"/>
        <v>1.0000000000000009E-2</v>
      </c>
      <c r="H155">
        <f t="shared" si="21"/>
        <v>0</v>
      </c>
      <c r="I155">
        <f t="shared" si="22"/>
        <v>3.0000000000000027E-2</v>
      </c>
      <c r="J155">
        <f>IF(ABS(D155-D154) &gt; $P$2, 1/2*(D155+D154)*9.81*B155 + J154, 0)</f>
        <v>0</v>
      </c>
      <c r="K155">
        <f>IF(ABS(E155-E154) &gt; $P$2, 1/2*(E155+E154)*9.81*B155 + K154, 0)</f>
        <v>0</v>
      </c>
      <c r="L155">
        <f>IF(ABS(F155-F154) &gt; $P$2, 1/2*(F155+F154)*9.81*B155 + L154, 0)</f>
        <v>-0.67399604999999996</v>
      </c>
      <c r="M155">
        <f t="shared" si="23"/>
        <v>0</v>
      </c>
      <c r="N155">
        <f t="shared" si="24"/>
        <v>0</v>
      </c>
      <c r="O155">
        <f t="shared" si="25"/>
        <v>-0.39798046754999999</v>
      </c>
      <c r="Q155">
        <v>67.709999999999994</v>
      </c>
      <c r="R155">
        <v>13.882</v>
      </c>
      <c r="S155">
        <f t="shared" si="26"/>
        <v>35.61999999999999</v>
      </c>
      <c r="T155">
        <f>SQRT(O155*O155)*100</f>
        <v>39.798046755000001</v>
      </c>
    </row>
    <row r="156" spans="1:20" x14ac:dyDescent="0.3">
      <c r="A156">
        <v>9810176</v>
      </c>
      <c r="B156">
        <f t="shared" si="18"/>
        <v>9.0999999999999998E-2</v>
      </c>
      <c r="C156">
        <f t="shared" si="19"/>
        <v>13.973000000000001</v>
      </c>
      <c r="D156">
        <v>-0.68</v>
      </c>
      <c r="E156">
        <v>0.02</v>
      </c>
      <c r="F156">
        <v>-0.78</v>
      </c>
      <c r="G156">
        <f t="shared" si="20"/>
        <v>9.9999999999998979E-3</v>
      </c>
      <c r="H156">
        <f t="shared" si="21"/>
        <v>0</v>
      </c>
      <c r="I156">
        <f t="shared" si="22"/>
        <v>1.0000000000000009E-2</v>
      </c>
      <c r="J156">
        <f>IF(ABS(D156-D155) &gt; $P$2, 1/2*(D156+D155)*9.81*B156 + J155, 0)</f>
        <v>0</v>
      </c>
      <c r="K156">
        <f>IF(ABS(E156-E155) &gt; $P$2, 1/2*(E156+E155)*9.81*B156 + K155, 0)</f>
        <v>0</v>
      </c>
      <c r="L156">
        <f>IF(ABS(F156-F155) &gt; $P$2, 1/2*(F156+F155)*9.81*B156 + L155, 0)</f>
        <v>0</v>
      </c>
      <c r="M156">
        <f t="shared" si="23"/>
        <v>0</v>
      </c>
      <c r="N156">
        <f t="shared" si="24"/>
        <v>0</v>
      </c>
      <c r="O156">
        <f t="shared" si="25"/>
        <v>-0.428647287825</v>
      </c>
      <c r="Q156">
        <v>68.959999999999994</v>
      </c>
      <c r="R156">
        <v>13.973000000000001</v>
      </c>
      <c r="S156">
        <f t="shared" si="26"/>
        <v>36.86999999999999</v>
      </c>
      <c r="T156">
        <f>SQRT(O156*O156)*100</f>
        <v>42.864728782500002</v>
      </c>
    </row>
    <row r="157" spans="1:20" x14ac:dyDescent="0.3">
      <c r="A157">
        <v>9810267</v>
      </c>
      <c r="B157">
        <f t="shared" si="18"/>
        <v>9.0999999999999998E-2</v>
      </c>
      <c r="C157">
        <f t="shared" si="19"/>
        <v>14.064</v>
      </c>
      <c r="D157">
        <v>-0.7</v>
      </c>
      <c r="E157">
        <v>0.02</v>
      </c>
      <c r="F157">
        <v>-0.77</v>
      </c>
      <c r="G157">
        <f t="shared" si="20"/>
        <v>1.9999999999999907E-2</v>
      </c>
      <c r="H157">
        <f t="shared" si="21"/>
        <v>0</v>
      </c>
      <c r="I157">
        <f t="shared" si="22"/>
        <v>1.0000000000000009E-2</v>
      </c>
      <c r="J157">
        <f>IF(ABS(D157-D156) &gt; $P$2, 1/2*(D157+D156)*9.81*B157 + J156, 0)</f>
        <v>0</v>
      </c>
      <c r="K157">
        <f>IF(ABS(E157-E156) &gt; $P$2, 1/2*(E157+E156)*9.81*B157 + K156, 0)</f>
        <v>0</v>
      </c>
      <c r="L157">
        <f>IF(ABS(F157-F156) &gt; $P$2, 1/2*(F157+F156)*9.81*B157 + L156, 0)</f>
        <v>0</v>
      </c>
      <c r="M157">
        <f t="shared" si="23"/>
        <v>0</v>
      </c>
      <c r="N157">
        <f t="shared" si="24"/>
        <v>0</v>
      </c>
      <c r="O157">
        <f t="shared" si="25"/>
        <v>-0.428647287825</v>
      </c>
      <c r="Q157">
        <v>69.38</v>
      </c>
      <c r="R157">
        <v>14.064</v>
      </c>
      <c r="S157">
        <f t="shared" si="26"/>
        <v>37.289999999999992</v>
      </c>
      <c r="T157">
        <f>SQRT(O157*O157)*100</f>
        <v>42.864728782500002</v>
      </c>
    </row>
    <row r="158" spans="1:20" x14ac:dyDescent="0.3">
      <c r="A158">
        <v>9810357</v>
      </c>
      <c r="B158">
        <f t="shared" si="18"/>
        <v>0.09</v>
      </c>
      <c r="C158">
        <f t="shared" si="19"/>
        <v>14.154</v>
      </c>
      <c r="D158">
        <v>-0.7</v>
      </c>
      <c r="E158">
        <v>0.03</v>
      </c>
      <c r="F158">
        <v>-0.75</v>
      </c>
      <c r="G158">
        <f t="shared" si="20"/>
        <v>0</v>
      </c>
      <c r="H158">
        <f t="shared" si="21"/>
        <v>9.9999999999999985E-3</v>
      </c>
      <c r="I158">
        <f t="shared" si="22"/>
        <v>2.0000000000000018E-2</v>
      </c>
      <c r="J158">
        <f>IF(ABS(D158-D157) &gt; $P$2, 1/2*(D158+D157)*9.81*B158 + J157, 0)</f>
        <v>0</v>
      </c>
      <c r="K158">
        <f>IF(ABS(E158-E157) &gt; $P$2, 1/2*(E158+E157)*9.81*B158 + K157, 0)</f>
        <v>0</v>
      </c>
      <c r="L158">
        <f>IF(ABS(F158-F157) &gt; $P$2, 1/2*(F158+F157)*9.81*B158 + L157, 0)</f>
        <v>0</v>
      </c>
      <c r="M158">
        <f t="shared" si="23"/>
        <v>0</v>
      </c>
      <c r="N158">
        <f t="shared" si="24"/>
        <v>0</v>
      </c>
      <c r="O158">
        <f t="shared" si="25"/>
        <v>-0.428647287825</v>
      </c>
      <c r="Q158">
        <v>70</v>
      </c>
      <c r="R158">
        <v>14.154</v>
      </c>
      <c r="S158">
        <f t="shared" si="26"/>
        <v>37.909999999999997</v>
      </c>
      <c r="T158">
        <f>SQRT(O158*O158)*100</f>
        <v>42.864728782500002</v>
      </c>
    </row>
    <row r="159" spans="1:20" x14ac:dyDescent="0.3">
      <c r="A159">
        <v>9810448</v>
      </c>
      <c r="B159">
        <f t="shared" si="18"/>
        <v>9.0999999999999998E-2</v>
      </c>
      <c r="C159">
        <f t="shared" si="19"/>
        <v>14.244999999999999</v>
      </c>
      <c r="D159">
        <v>-0.71</v>
      </c>
      <c r="E159">
        <v>0.03</v>
      </c>
      <c r="F159">
        <v>-0.73</v>
      </c>
      <c r="G159">
        <f t="shared" si="20"/>
        <v>1.0000000000000009E-2</v>
      </c>
      <c r="H159">
        <f t="shared" si="21"/>
        <v>0</v>
      </c>
      <c r="I159">
        <f t="shared" si="22"/>
        <v>2.0000000000000018E-2</v>
      </c>
      <c r="J159">
        <f>IF(ABS(D159-D158) &gt; $P$2, 1/2*(D159+D158)*9.81*B159 + J158, 0)</f>
        <v>0</v>
      </c>
      <c r="K159">
        <f>IF(ABS(E159-E158) &gt; $P$2, 1/2*(E159+E158)*9.81*B159 + K158, 0)</f>
        <v>0</v>
      </c>
      <c r="L159">
        <f>IF(ABS(F159-F158) &gt; $P$2, 1/2*(F159+F158)*9.81*B159 + L158, 0)</f>
        <v>0</v>
      </c>
      <c r="M159">
        <f t="shared" si="23"/>
        <v>0</v>
      </c>
      <c r="N159">
        <f t="shared" si="24"/>
        <v>0</v>
      </c>
      <c r="O159">
        <f t="shared" si="25"/>
        <v>-0.428647287825</v>
      </c>
      <c r="Q159">
        <v>70.209999999999994</v>
      </c>
      <c r="R159">
        <v>14.244999999999999</v>
      </c>
      <c r="S159">
        <f t="shared" si="26"/>
        <v>38.11999999999999</v>
      </c>
      <c r="T159">
        <f>SQRT(O159*O159)*100</f>
        <v>42.864728782500002</v>
      </c>
    </row>
    <row r="160" spans="1:20" x14ac:dyDescent="0.3">
      <c r="A160">
        <v>9810539</v>
      </c>
      <c r="B160">
        <f t="shared" si="18"/>
        <v>9.0999999999999998E-2</v>
      </c>
      <c r="C160">
        <f t="shared" si="19"/>
        <v>14.336</v>
      </c>
      <c r="D160">
        <v>-0.69</v>
      </c>
      <c r="E160">
        <v>0.03</v>
      </c>
      <c r="F160">
        <v>-0.74</v>
      </c>
      <c r="G160">
        <f t="shared" si="20"/>
        <v>2.0000000000000018E-2</v>
      </c>
      <c r="H160">
        <f t="shared" si="21"/>
        <v>0</v>
      </c>
      <c r="I160">
        <f t="shared" si="22"/>
        <v>1.0000000000000009E-2</v>
      </c>
      <c r="J160">
        <f>IF(ABS(D160-D159) &gt; $P$2, 1/2*(D160+D159)*9.81*B160 + J159, 0)</f>
        <v>0</v>
      </c>
      <c r="K160">
        <f>IF(ABS(E160-E159) &gt; $P$2, 1/2*(E160+E159)*9.81*B160 + K159, 0)</f>
        <v>0</v>
      </c>
      <c r="L160">
        <f>IF(ABS(F160-F159) &gt; $P$2, 1/2*(F160+F159)*9.81*B160 + L159, 0)</f>
        <v>0</v>
      </c>
      <c r="M160">
        <f t="shared" si="23"/>
        <v>0</v>
      </c>
      <c r="N160">
        <f t="shared" si="24"/>
        <v>0</v>
      </c>
      <c r="O160">
        <f t="shared" si="25"/>
        <v>-0.428647287825</v>
      </c>
      <c r="Q160">
        <v>70.42</v>
      </c>
      <c r="R160">
        <v>14.336</v>
      </c>
      <c r="S160">
        <f t="shared" si="26"/>
        <v>38.33</v>
      </c>
      <c r="T160">
        <f>SQRT(O160*O160)*100</f>
        <v>42.864728782500002</v>
      </c>
    </row>
    <row r="161" spans="1:20" x14ac:dyDescent="0.3">
      <c r="A161">
        <v>9810629</v>
      </c>
      <c r="B161">
        <f t="shared" si="18"/>
        <v>0.09</v>
      </c>
      <c r="C161">
        <f t="shared" si="19"/>
        <v>14.426</v>
      </c>
      <c r="D161">
        <v>-0.71</v>
      </c>
      <c r="E161">
        <v>0.03</v>
      </c>
      <c r="F161">
        <v>-0.73</v>
      </c>
      <c r="G161">
        <f t="shared" si="20"/>
        <v>2.0000000000000018E-2</v>
      </c>
      <c r="H161">
        <f t="shared" si="21"/>
        <v>0</v>
      </c>
      <c r="I161">
        <f t="shared" si="22"/>
        <v>1.0000000000000009E-2</v>
      </c>
      <c r="J161">
        <f>IF(ABS(D161-D160) &gt; $P$2, 1/2*(D161+D160)*9.81*B161 + J160, 0)</f>
        <v>0</v>
      </c>
      <c r="K161">
        <f>IF(ABS(E161-E160) &gt; $P$2, 1/2*(E161+E160)*9.81*B161 + K160, 0)</f>
        <v>0</v>
      </c>
      <c r="L161">
        <f>IF(ABS(F161-F160) &gt; $P$2, 1/2*(F161+F160)*9.81*B161 + L160, 0)</f>
        <v>0</v>
      </c>
      <c r="M161">
        <f t="shared" si="23"/>
        <v>0</v>
      </c>
      <c r="N161">
        <f t="shared" si="24"/>
        <v>0</v>
      </c>
      <c r="O161">
        <f t="shared" si="25"/>
        <v>-0.428647287825</v>
      </c>
      <c r="Q161">
        <v>70.42</v>
      </c>
      <c r="R161">
        <v>14.426</v>
      </c>
      <c r="S161">
        <f t="shared" si="26"/>
        <v>38.33</v>
      </c>
      <c r="T161">
        <f>SQRT(O161*O161)*100</f>
        <v>42.864728782500002</v>
      </c>
    </row>
    <row r="162" spans="1:20" x14ac:dyDescent="0.3">
      <c r="A162">
        <v>9810720</v>
      </c>
      <c r="B162">
        <f t="shared" si="18"/>
        <v>9.0999999999999998E-2</v>
      </c>
      <c r="C162">
        <f t="shared" si="19"/>
        <v>14.516999999999999</v>
      </c>
      <c r="D162">
        <v>-0.69</v>
      </c>
      <c r="E162">
        <v>0.03</v>
      </c>
      <c r="F162">
        <v>-0.73</v>
      </c>
      <c r="G162">
        <f t="shared" si="20"/>
        <v>2.0000000000000018E-2</v>
      </c>
      <c r="H162">
        <f t="shared" si="21"/>
        <v>0</v>
      </c>
      <c r="I162">
        <f t="shared" si="22"/>
        <v>0</v>
      </c>
      <c r="J162">
        <f>IF(ABS(D162-D161) &gt; $P$2, 1/2*(D162+D161)*9.81*B162 + J161, 0)</f>
        <v>0</v>
      </c>
      <c r="K162">
        <f>IF(ABS(E162-E161) &gt; $P$2, 1/2*(E162+E161)*9.81*B162 + K161, 0)</f>
        <v>0</v>
      </c>
      <c r="L162">
        <f>IF(ABS(F162-F161) &gt; $P$2, 1/2*(F162+F161)*9.81*B162 + L161, 0)</f>
        <v>0</v>
      </c>
      <c r="M162">
        <f t="shared" si="23"/>
        <v>0</v>
      </c>
      <c r="N162">
        <f t="shared" si="24"/>
        <v>0</v>
      </c>
      <c r="O162">
        <f t="shared" si="25"/>
        <v>-0.428647287825</v>
      </c>
      <c r="Q162">
        <v>71.05</v>
      </c>
      <c r="R162">
        <v>14.516999999999999</v>
      </c>
      <c r="S162">
        <f t="shared" si="26"/>
        <v>38.959999999999994</v>
      </c>
      <c r="T162">
        <f>SQRT(O162*O162)*100</f>
        <v>42.864728782500002</v>
      </c>
    </row>
    <row r="163" spans="1:20" x14ac:dyDescent="0.3">
      <c r="A163">
        <v>9810810</v>
      </c>
      <c r="B163">
        <f t="shared" si="18"/>
        <v>0.09</v>
      </c>
      <c r="C163">
        <f t="shared" si="19"/>
        <v>14.606999999999999</v>
      </c>
      <c r="D163">
        <v>-0.71</v>
      </c>
      <c r="E163">
        <v>0.02</v>
      </c>
      <c r="F163">
        <v>-0.73</v>
      </c>
      <c r="G163">
        <f t="shared" si="20"/>
        <v>2.0000000000000018E-2</v>
      </c>
      <c r="H163">
        <f t="shared" si="21"/>
        <v>9.9999999999999985E-3</v>
      </c>
      <c r="I163">
        <f t="shared" si="22"/>
        <v>0</v>
      </c>
      <c r="J163">
        <f>IF(ABS(D163-D162) &gt; $P$2, 1/2*(D163+D162)*9.81*B163 + J162, 0)</f>
        <v>0</v>
      </c>
      <c r="K163">
        <f>IF(ABS(E163-E162) &gt; $P$2, 1/2*(E163+E162)*9.81*B163 + K162, 0)</f>
        <v>0</v>
      </c>
      <c r="L163">
        <f>IF(ABS(F163-F162) &gt; $P$2, 1/2*(F163+F162)*9.81*B163 + L162, 0)</f>
        <v>0</v>
      </c>
      <c r="M163">
        <f t="shared" si="23"/>
        <v>0</v>
      </c>
      <c r="N163">
        <f t="shared" si="24"/>
        <v>0</v>
      </c>
      <c r="O163">
        <f t="shared" si="25"/>
        <v>-0.428647287825</v>
      </c>
      <c r="Q163">
        <v>71.459999999999994</v>
      </c>
      <c r="R163">
        <v>14.606999999999999</v>
      </c>
      <c r="S163">
        <f t="shared" si="26"/>
        <v>39.36999999999999</v>
      </c>
      <c r="T163">
        <f>SQRT(O163*O163)*100</f>
        <v>42.864728782500002</v>
      </c>
    </row>
    <row r="164" spans="1:20" x14ac:dyDescent="0.3">
      <c r="A164">
        <v>9810902</v>
      </c>
      <c r="B164">
        <f t="shared" si="18"/>
        <v>9.1999999999999998E-2</v>
      </c>
      <c r="C164">
        <f t="shared" si="19"/>
        <v>14.699</v>
      </c>
      <c r="D164">
        <v>-0.71</v>
      </c>
      <c r="E164">
        <v>0.02</v>
      </c>
      <c r="F164">
        <v>-0.73</v>
      </c>
      <c r="G164">
        <f t="shared" si="20"/>
        <v>0</v>
      </c>
      <c r="H164">
        <f t="shared" si="21"/>
        <v>0</v>
      </c>
      <c r="I164">
        <f t="shared" si="22"/>
        <v>0</v>
      </c>
      <c r="J164">
        <f>IF(ABS(D164-D163) &gt; $P$2, 1/2*(D164+D163)*9.81*B164 + J163, 0)</f>
        <v>0</v>
      </c>
      <c r="K164">
        <f>IF(ABS(E164-E163) &gt; $P$2, 1/2*(E164+E163)*9.81*B164 + K163, 0)</f>
        <v>0</v>
      </c>
      <c r="L164">
        <f>IF(ABS(F164-F163) &gt; $P$2, 1/2*(F164+F163)*9.81*B164 + L163, 0)</f>
        <v>0</v>
      </c>
      <c r="M164">
        <f t="shared" si="23"/>
        <v>0</v>
      </c>
      <c r="N164">
        <f t="shared" si="24"/>
        <v>0</v>
      </c>
      <c r="O164">
        <f t="shared" si="25"/>
        <v>-0.428647287825</v>
      </c>
      <c r="Q164">
        <v>72.09</v>
      </c>
      <c r="R164">
        <v>14.699</v>
      </c>
      <c r="S164">
        <f t="shared" si="26"/>
        <v>40</v>
      </c>
      <c r="T164">
        <f>SQRT(O164*O164)*100</f>
        <v>42.864728782500002</v>
      </c>
    </row>
    <row r="165" spans="1:20" x14ac:dyDescent="0.3">
      <c r="A165">
        <v>9810993</v>
      </c>
      <c r="B165">
        <f t="shared" si="18"/>
        <v>9.0999999999999998E-2</v>
      </c>
      <c r="C165">
        <f t="shared" si="19"/>
        <v>14.79</v>
      </c>
      <c r="D165">
        <v>-0.71</v>
      </c>
      <c r="E165">
        <v>0.02</v>
      </c>
      <c r="F165">
        <v>-0.73</v>
      </c>
      <c r="G165">
        <f t="shared" si="20"/>
        <v>0</v>
      </c>
      <c r="H165">
        <f t="shared" si="21"/>
        <v>0</v>
      </c>
      <c r="I165">
        <f t="shared" si="22"/>
        <v>0</v>
      </c>
      <c r="J165">
        <f>IF(ABS(D165-D164) &gt; $P$2, 1/2*(D165+D164)*9.81*B165 + J164, 0)</f>
        <v>0</v>
      </c>
      <c r="K165">
        <f>IF(ABS(E165-E164) &gt; $P$2, 1/2*(E165+E164)*9.81*B165 + K164, 0)</f>
        <v>0</v>
      </c>
      <c r="L165">
        <f>IF(ABS(F165-F164) &gt; $P$2, 1/2*(F165+F164)*9.81*B165 + L164, 0)</f>
        <v>0</v>
      </c>
      <c r="M165">
        <f t="shared" si="23"/>
        <v>0</v>
      </c>
      <c r="N165">
        <f t="shared" si="24"/>
        <v>0</v>
      </c>
      <c r="O165">
        <f t="shared" si="25"/>
        <v>-0.428647287825</v>
      </c>
      <c r="Q165">
        <v>71.88</v>
      </c>
      <c r="R165">
        <v>14.79</v>
      </c>
      <c r="S165">
        <f t="shared" si="26"/>
        <v>39.789999999999992</v>
      </c>
      <c r="T165">
        <f>SQRT(O165*O165)*100</f>
        <v>42.864728782500002</v>
      </c>
    </row>
    <row r="166" spans="1:20" x14ac:dyDescent="0.3">
      <c r="A166">
        <v>9811083</v>
      </c>
      <c r="B166">
        <f t="shared" si="18"/>
        <v>0.09</v>
      </c>
      <c r="C166">
        <f t="shared" si="19"/>
        <v>14.88</v>
      </c>
      <c r="D166">
        <v>-0.7</v>
      </c>
      <c r="E166">
        <v>0.03</v>
      </c>
      <c r="F166">
        <v>-0.74</v>
      </c>
      <c r="G166">
        <f t="shared" si="20"/>
        <v>1.0000000000000009E-2</v>
      </c>
      <c r="H166">
        <f t="shared" si="21"/>
        <v>9.9999999999999985E-3</v>
      </c>
      <c r="I166">
        <f t="shared" si="22"/>
        <v>1.0000000000000009E-2</v>
      </c>
      <c r="J166">
        <f>IF(ABS(D166-D165) &gt; $P$2, 1/2*(D166+D165)*9.81*B166 + J165, 0)</f>
        <v>0</v>
      </c>
      <c r="K166">
        <f>IF(ABS(E166-E165) &gt; $P$2, 1/2*(E166+E165)*9.81*B166 + K165, 0)</f>
        <v>0</v>
      </c>
      <c r="L166">
        <f>IF(ABS(F166-F165) &gt; $P$2, 1/2*(F166+F165)*9.81*B166 + L165, 0)</f>
        <v>0</v>
      </c>
      <c r="M166">
        <f t="shared" si="23"/>
        <v>0</v>
      </c>
      <c r="N166">
        <f t="shared" si="24"/>
        <v>0</v>
      </c>
      <c r="O166">
        <f t="shared" si="25"/>
        <v>-0.428647287825</v>
      </c>
      <c r="Q166">
        <v>72.09</v>
      </c>
      <c r="R166">
        <v>14.88</v>
      </c>
      <c r="S166">
        <f t="shared" si="26"/>
        <v>40</v>
      </c>
      <c r="T166">
        <f>SQRT(O166*O166)*100</f>
        <v>42.864728782500002</v>
      </c>
    </row>
    <row r="167" spans="1:20" x14ac:dyDescent="0.3">
      <c r="A167">
        <v>9811174</v>
      </c>
      <c r="B167">
        <f t="shared" si="18"/>
        <v>9.0999999999999998E-2</v>
      </c>
      <c r="C167">
        <f t="shared" si="19"/>
        <v>14.971</v>
      </c>
      <c r="D167">
        <v>-0.7</v>
      </c>
      <c r="E167">
        <v>0.03</v>
      </c>
      <c r="F167">
        <v>-0.72</v>
      </c>
      <c r="G167">
        <f t="shared" si="20"/>
        <v>0</v>
      </c>
      <c r="H167">
        <f t="shared" si="21"/>
        <v>0</v>
      </c>
      <c r="I167">
        <f t="shared" si="22"/>
        <v>2.0000000000000018E-2</v>
      </c>
      <c r="J167">
        <f>IF(ABS(D167-D166) &gt; $P$2, 1/2*(D167+D166)*9.81*B167 + J166, 0)</f>
        <v>0</v>
      </c>
      <c r="K167">
        <f>IF(ABS(E167-E166) &gt; $P$2, 1/2*(E167+E166)*9.81*B167 + K166, 0)</f>
        <v>0</v>
      </c>
      <c r="L167">
        <f>IF(ABS(F167-F166) &gt; $P$2, 1/2*(F167+F166)*9.81*B167 + L166, 0)</f>
        <v>0</v>
      </c>
      <c r="M167">
        <f t="shared" si="23"/>
        <v>0</v>
      </c>
      <c r="N167">
        <f t="shared" si="24"/>
        <v>0</v>
      </c>
      <c r="O167">
        <f t="shared" si="25"/>
        <v>-0.428647287825</v>
      </c>
      <c r="Q167">
        <v>72.3</v>
      </c>
      <c r="R167">
        <v>14.971</v>
      </c>
      <c r="S167">
        <f t="shared" si="26"/>
        <v>40.209999999999994</v>
      </c>
      <c r="T167">
        <f>SQRT(O167*O167)*100</f>
        <v>42.864728782500002</v>
      </c>
    </row>
    <row r="168" spans="1:20" x14ac:dyDescent="0.3">
      <c r="A168">
        <v>9811265</v>
      </c>
      <c r="B168">
        <f t="shared" si="18"/>
        <v>9.0999999999999998E-2</v>
      </c>
      <c r="C168">
        <f t="shared" si="19"/>
        <v>15.061999999999999</v>
      </c>
      <c r="D168">
        <v>-0.71</v>
      </c>
      <c r="E168">
        <v>0.03</v>
      </c>
      <c r="F168">
        <v>-0.73</v>
      </c>
      <c r="G168">
        <f t="shared" si="20"/>
        <v>1.0000000000000009E-2</v>
      </c>
      <c r="H168">
        <f t="shared" si="21"/>
        <v>0</v>
      </c>
      <c r="I168">
        <f t="shared" si="22"/>
        <v>1.0000000000000009E-2</v>
      </c>
      <c r="J168">
        <f>IF(ABS(D168-D167) &gt; $P$2, 1/2*(D168+D167)*9.81*B168 + J167, 0)</f>
        <v>0</v>
      </c>
      <c r="K168">
        <f>IF(ABS(E168-E167) &gt; $P$2, 1/2*(E168+E167)*9.81*B168 + K167, 0)</f>
        <v>0</v>
      </c>
      <c r="L168">
        <f>IF(ABS(F168-F167) &gt; $P$2, 1/2*(F168+F167)*9.81*B168 + L167, 0)</f>
        <v>0</v>
      </c>
      <c r="M168">
        <f t="shared" si="23"/>
        <v>0</v>
      </c>
      <c r="N168">
        <f t="shared" si="24"/>
        <v>0</v>
      </c>
      <c r="O168">
        <f t="shared" si="25"/>
        <v>-0.428647287825</v>
      </c>
      <c r="Q168">
        <v>72.5</v>
      </c>
      <c r="R168">
        <v>15.061999999999999</v>
      </c>
      <c r="S168">
        <f t="shared" si="26"/>
        <v>40.409999999999997</v>
      </c>
      <c r="T168">
        <f>SQRT(O168*O168)*100</f>
        <v>42.864728782500002</v>
      </c>
    </row>
    <row r="169" spans="1:20" x14ac:dyDescent="0.3">
      <c r="A169">
        <v>9811355</v>
      </c>
      <c r="B169">
        <f t="shared" si="18"/>
        <v>0.09</v>
      </c>
      <c r="C169">
        <f t="shared" si="19"/>
        <v>15.151999999999999</v>
      </c>
      <c r="D169">
        <v>-0.71</v>
      </c>
      <c r="E169">
        <v>0.03</v>
      </c>
      <c r="F169">
        <v>-0.72</v>
      </c>
      <c r="G169">
        <f t="shared" si="20"/>
        <v>0</v>
      </c>
      <c r="H169">
        <f t="shared" si="21"/>
        <v>0</v>
      </c>
      <c r="I169">
        <f t="shared" si="22"/>
        <v>1.0000000000000009E-2</v>
      </c>
      <c r="J169">
        <f>IF(ABS(D169-D168) &gt; $P$2, 1/2*(D169+D168)*9.81*B169 + J168, 0)</f>
        <v>0</v>
      </c>
      <c r="K169">
        <f>IF(ABS(E169-E168) &gt; $P$2, 1/2*(E169+E168)*9.81*B169 + K168, 0)</f>
        <v>0</v>
      </c>
      <c r="L169">
        <f>IF(ABS(F169-F168) &gt; $P$2, 1/2*(F169+F168)*9.81*B169 + L168, 0)</f>
        <v>0</v>
      </c>
      <c r="M169">
        <f t="shared" si="23"/>
        <v>0</v>
      </c>
      <c r="N169">
        <f t="shared" si="24"/>
        <v>0</v>
      </c>
      <c r="O169">
        <f t="shared" si="25"/>
        <v>-0.428647287825</v>
      </c>
      <c r="Q169">
        <v>72.709999999999994</v>
      </c>
      <c r="R169">
        <v>15.151999999999999</v>
      </c>
      <c r="S169">
        <f t="shared" si="26"/>
        <v>40.61999999999999</v>
      </c>
      <c r="T169">
        <f>SQRT(O169*O169)*100</f>
        <v>42.864728782500002</v>
      </c>
    </row>
    <row r="170" spans="1:20" x14ac:dyDescent="0.3">
      <c r="A170">
        <v>9811446</v>
      </c>
      <c r="B170">
        <f t="shared" si="18"/>
        <v>9.0999999999999998E-2</v>
      </c>
      <c r="C170">
        <f t="shared" si="19"/>
        <v>15.243</v>
      </c>
      <c r="D170">
        <v>-0.71</v>
      </c>
      <c r="E170">
        <v>0.03</v>
      </c>
      <c r="F170">
        <v>-0.71</v>
      </c>
      <c r="G170">
        <f t="shared" si="20"/>
        <v>0</v>
      </c>
      <c r="H170">
        <f t="shared" si="21"/>
        <v>0</v>
      </c>
      <c r="I170">
        <f t="shared" si="22"/>
        <v>1.0000000000000009E-2</v>
      </c>
      <c r="J170">
        <f>IF(ABS(D170-D169) &gt; $P$2, 1/2*(D170+D169)*9.81*B170 + J169, 0)</f>
        <v>0</v>
      </c>
      <c r="K170">
        <f>IF(ABS(E170-E169) &gt; $P$2, 1/2*(E170+E169)*9.81*B170 + K169, 0)</f>
        <v>0</v>
      </c>
      <c r="L170">
        <f>IF(ABS(F170-F169) &gt; $P$2, 1/2*(F170+F169)*9.81*B170 + L169, 0)</f>
        <v>0</v>
      </c>
      <c r="M170">
        <f t="shared" si="23"/>
        <v>0</v>
      </c>
      <c r="N170">
        <f t="shared" si="24"/>
        <v>0</v>
      </c>
      <c r="O170">
        <f t="shared" si="25"/>
        <v>-0.428647287825</v>
      </c>
      <c r="Q170">
        <v>72.709999999999994</v>
      </c>
      <c r="R170">
        <v>15.243</v>
      </c>
      <c r="S170">
        <f t="shared" si="26"/>
        <v>40.61999999999999</v>
      </c>
      <c r="T170">
        <f>SQRT(O170*O170)*100</f>
        <v>42.864728782500002</v>
      </c>
    </row>
    <row r="171" spans="1:20" x14ac:dyDescent="0.3">
      <c r="A171">
        <v>9811536</v>
      </c>
      <c r="B171">
        <f t="shared" si="18"/>
        <v>0.09</v>
      </c>
      <c r="C171">
        <f t="shared" si="19"/>
        <v>15.333</v>
      </c>
      <c r="D171">
        <v>-0.71</v>
      </c>
      <c r="E171">
        <v>0.04</v>
      </c>
      <c r="F171">
        <v>-0.72</v>
      </c>
      <c r="G171">
        <f t="shared" si="20"/>
        <v>0</v>
      </c>
      <c r="H171">
        <f t="shared" si="21"/>
        <v>1.0000000000000002E-2</v>
      </c>
      <c r="I171">
        <f t="shared" si="22"/>
        <v>1.0000000000000009E-2</v>
      </c>
      <c r="J171">
        <f>IF(ABS(D171-D170) &gt; $P$2, 1/2*(D171+D170)*9.81*B171 + J170, 0)</f>
        <v>0</v>
      </c>
      <c r="K171">
        <f>IF(ABS(E171-E170) &gt; $P$2, 1/2*(E171+E170)*9.81*B171 + K170, 0)</f>
        <v>0</v>
      </c>
      <c r="L171">
        <f>IF(ABS(F171-F170) &gt; $P$2, 1/2*(F171+F170)*9.81*B171 + L170, 0)</f>
        <v>0</v>
      </c>
      <c r="M171">
        <f t="shared" si="23"/>
        <v>0</v>
      </c>
      <c r="N171">
        <f t="shared" si="24"/>
        <v>0</v>
      </c>
      <c r="O171">
        <f t="shared" si="25"/>
        <v>-0.428647287825</v>
      </c>
      <c r="Q171">
        <v>72.709999999999994</v>
      </c>
      <c r="R171">
        <v>15.333</v>
      </c>
      <c r="S171">
        <f t="shared" si="26"/>
        <v>40.61999999999999</v>
      </c>
      <c r="T171">
        <f>SQRT(O171*O171)*100</f>
        <v>42.864728782500002</v>
      </c>
    </row>
    <row r="172" spans="1:20" x14ac:dyDescent="0.3">
      <c r="A172">
        <v>9811628</v>
      </c>
      <c r="B172">
        <f t="shared" si="18"/>
        <v>9.1999999999999998E-2</v>
      </c>
      <c r="C172">
        <f t="shared" si="19"/>
        <v>15.425000000000001</v>
      </c>
      <c r="D172">
        <v>-0.72</v>
      </c>
      <c r="E172">
        <v>0.03</v>
      </c>
      <c r="F172">
        <v>-0.72</v>
      </c>
      <c r="G172">
        <f t="shared" si="20"/>
        <v>1.0000000000000009E-2</v>
      </c>
      <c r="H172">
        <f t="shared" si="21"/>
        <v>1.0000000000000002E-2</v>
      </c>
      <c r="I172">
        <f t="shared" si="22"/>
        <v>0</v>
      </c>
      <c r="J172">
        <f>IF(ABS(D172-D171) &gt; $P$2, 1/2*(D172+D171)*9.81*B172 + J171, 0)</f>
        <v>0</v>
      </c>
      <c r="K172">
        <f>IF(ABS(E172-E171) &gt; $P$2, 1/2*(E172+E171)*9.81*B172 + K171, 0)</f>
        <v>0</v>
      </c>
      <c r="L172">
        <f>IF(ABS(F172-F171) &gt; $P$2, 1/2*(F172+F171)*9.81*B172 + L171, 0)</f>
        <v>0</v>
      </c>
      <c r="M172">
        <f t="shared" si="23"/>
        <v>0</v>
      </c>
      <c r="N172">
        <f t="shared" si="24"/>
        <v>0</v>
      </c>
      <c r="O172">
        <f t="shared" si="25"/>
        <v>-0.428647287825</v>
      </c>
      <c r="Q172">
        <v>73.13</v>
      </c>
      <c r="R172">
        <v>15.425000000000001</v>
      </c>
      <c r="S172">
        <f t="shared" si="26"/>
        <v>41.039999999999992</v>
      </c>
      <c r="T172">
        <f>SQRT(O172*O172)*100</f>
        <v>42.864728782500002</v>
      </c>
    </row>
    <row r="173" spans="1:20" x14ac:dyDescent="0.3">
      <c r="A173">
        <v>9811719</v>
      </c>
      <c r="B173">
        <f t="shared" si="18"/>
        <v>9.0999999999999998E-2</v>
      </c>
      <c r="C173">
        <f t="shared" si="19"/>
        <v>15.516</v>
      </c>
      <c r="D173">
        <v>-0.71</v>
      </c>
      <c r="E173">
        <v>0.04</v>
      </c>
      <c r="F173">
        <v>-0.72</v>
      </c>
      <c r="G173">
        <f t="shared" si="20"/>
        <v>1.0000000000000009E-2</v>
      </c>
      <c r="H173">
        <f t="shared" si="21"/>
        <v>1.0000000000000002E-2</v>
      </c>
      <c r="I173">
        <f t="shared" si="22"/>
        <v>0</v>
      </c>
      <c r="J173">
        <f>IF(ABS(D173-D172) &gt; $P$2, 1/2*(D173+D172)*9.81*B173 + J172, 0)</f>
        <v>0</v>
      </c>
      <c r="K173">
        <f>IF(ABS(E173-E172) &gt; $P$2, 1/2*(E173+E172)*9.81*B173 + K172, 0)</f>
        <v>0</v>
      </c>
      <c r="L173">
        <f>IF(ABS(F173-F172) &gt; $P$2, 1/2*(F173+F172)*9.81*B173 + L172, 0)</f>
        <v>0</v>
      </c>
      <c r="M173">
        <f t="shared" si="23"/>
        <v>0</v>
      </c>
      <c r="N173">
        <f t="shared" si="24"/>
        <v>0</v>
      </c>
      <c r="O173">
        <f t="shared" si="25"/>
        <v>-0.428647287825</v>
      </c>
      <c r="Q173">
        <v>73.75</v>
      </c>
      <c r="R173">
        <v>15.516</v>
      </c>
      <c r="S173">
        <f t="shared" si="26"/>
        <v>41.66</v>
      </c>
      <c r="T173">
        <f>SQRT(O173*O173)*100</f>
        <v>42.864728782500002</v>
      </c>
    </row>
    <row r="174" spans="1:20" x14ac:dyDescent="0.3">
      <c r="A174">
        <v>9811809</v>
      </c>
      <c r="B174">
        <f t="shared" si="18"/>
        <v>0.09</v>
      </c>
      <c r="C174">
        <f t="shared" si="19"/>
        <v>15.606</v>
      </c>
      <c r="D174">
        <v>-0.71</v>
      </c>
      <c r="E174">
        <v>0.03</v>
      </c>
      <c r="F174">
        <v>-0.72</v>
      </c>
      <c r="G174">
        <f t="shared" si="20"/>
        <v>0</v>
      </c>
      <c r="H174">
        <f t="shared" si="21"/>
        <v>1.0000000000000002E-2</v>
      </c>
      <c r="I174">
        <f t="shared" si="22"/>
        <v>0</v>
      </c>
      <c r="J174">
        <f>IF(ABS(D174-D173) &gt; $P$2, 1/2*(D174+D173)*9.81*B174 + J173, 0)</f>
        <v>0</v>
      </c>
      <c r="K174">
        <f>IF(ABS(E174-E173) &gt; $P$2, 1/2*(E174+E173)*9.81*B174 + K173, 0)</f>
        <v>0</v>
      </c>
      <c r="L174">
        <f>IF(ABS(F174-F173) &gt; $P$2, 1/2*(F174+F173)*9.81*B174 + L173, 0)</f>
        <v>0</v>
      </c>
      <c r="M174">
        <f t="shared" si="23"/>
        <v>0</v>
      </c>
      <c r="N174">
        <f t="shared" si="24"/>
        <v>0</v>
      </c>
      <c r="O174">
        <f t="shared" si="25"/>
        <v>-0.428647287825</v>
      </c>
      <c r="Q174">
        <v>73.13</v>
      </c>
      <c r="R174">
        <v>15.606</v>
      </c>
      <c r="S174">
        <f t="shared" si="26"/>
        <v>41.039999999999992</v>
      </c>
      <c r="T174">
        <f>SQRT(O174*O174)*100</f>
        <v>42.864728782500002</v>
      </c>
    </row>
    <row r="175" spans="1:20" x14ac:dyDescent="0.3">
      <c r="A175">
        <v>9811900</v>
      </c>
      <c r="B175">
        <f t="shared" si="18"/>
        <v>9.0999999999999998E-2</v>
      </c>
      <c r="C175">
        <f t="shared" si="19"/>
        <v>15.696999999999999</v>
      </c>
      <c r="D175">
        <v>-0.71</v>
      </c>
      <c r="E175">
        <v>0.03</v>
      </c>
      <c r="F175">
        <v>-0.7</v>
      </c>
      <c r="G175">
        <f t="shared" si="20"/>
        <v>0</v>
      </c>
      <c r="H175">
        <f t="shared" si="21"/>
        <v>0</v>
      </c>
      <c r="I175">
        <f t="shared" si="22"/>
        <v>2.0000000000000018E-2</v>
      </c>
      <c r="J175">
        <f>IF(ABS(D175-D174) &gt; $P$2, 1/2*(D175+D174)*9.81*B175 + J174, 0)</f>
        <v>0</v>
      </c>
      <c r="K175">
        <f>IF(ABS(E175-E174) &gt; $P$2, 1/2*(E175+E174)*9.81*B175 + K174, 0)</f>
        <v>0</v>
      </c>
      <c r="L175">
        <f>IF(ABS(F175-F174) &gt; $P$2, 1/2*(F175+F174)*9.81*B175 + L174, 0)</f>
        <v>0</v>
      </c>
      <c r="M175">
        <f t="shared" si="23"/>
        <v>0</v>
      </c>
      <c r="N175">
        <f t="shared" si="24"/>
        <v>0</v>
      </c>
      <c r="O175">
        <f t="shared" si="25"/>
        <v>-0.428647287825</v>
      </c>
      <c r="Q175">
        <v>73.55</v>
      </c>
      <c r="R175">
        <v>15.696999999999999</v>
      </c>
      <c r="S175">
        <f t="shared" si="26"/>
        <v>41.459999999999994</v>
      </c>
      <c r="T175">
        <f>SQRT(O175*O175)*100</f>
        <v>42.864728782500002</v>
      </c>
    </row>
    <row r="176" spans="1:20" x14ac:dyDescent="0.3">
      <c r="A176">
        <v>9811990</v>
      </c>
      <c r="B176">
        <f t="shared" si="18"/>
        <v>0.09</v>
      </c>
      <c r="C176">
        <f t="shared" si="19"/>
        <v>15.787000000000001</v>
      </c>
      <c r="D176">
        <v>-0.71</v>
      </c>
      <c r="E176">
        <v>0.04</v>
      </c>
      <c r="F176">
        <v>-0.72</v>
      </c>
      <c r="G176">
        <f t="shared" si="20"/>
        <v>0</v>
      </c>
      <c r="H176">
        <f t="shared" si="21"/>
        <v>1.0000000000000002E-2</v>
      </c>
      <c r="I176">
        <f t="shared" si="22"/>
        <v>2.0000000000000018E-2</v>
      </c>
      <c r="J176">
        <f>IF(ABS(D176-D175) &gt; $P$2, 1/2*(D176+D175)*9.81*B176 + J175, 0)</f>
        <v>0</v>
      </c>
      <c r="K176">
        <f>IF(ABS(E176-E175) &gt; $P$2, 1/2*(E176+E175)*9.81*B176 + K175, 0)</f>
        <v>0</v>
      </c>
      <c r="L176">
        <f>IF(ABS(F176-F175) &gt; $P$2, 1/2*(F176+F175)*9.81*B176 + L175, 0)</f>
        <v>0</v>
      </c>
      <c r="M176">
        <f t="shared" si="23"/>
        <v>0</v>
      </c>
      <c r="N176">
        <f t="shared" si="24"/>
        <v>0</v>
      </c>
      <c r="O176">
        <f t="shared" si="25"/>
        <v>-0.428647287825</v>
      </c>
      <c r="Q176">
        <v>73.55</v>
      </c>
      <c r="R176">
        <v>15.787000000000001</v>
      </c>
      <c r="S176">
        <f t="shared" si="26"/>
        <v>41.459999999999994</v>
      </c>
      <c r="T176">
        <f>SQRT(O176*O176)*100</f>
        <v>42.864728782500002</v>
      </c>
    </row>
    <row r="177" spans="1:20" x14ac:dyDescent="0.3">
      <c r="A177">
        <v>9812081</v>
      </c>
      <c r="B177">
        <f t="shared" si="18"/>
        <v>9.0999999999999998E-2</v>
      </c>
      <c r="C177">
        <f t="shared" si="19"/>
        <v>15.878</v>
      </c>
      <c r="D177">
        <v>-0.72</v>
      </c>
      <c r="E177">
        <v>0.04</v>
      </c>
      <c r="F177">
        <v>-0.72</v>
      </c>
      <c r="G177">
        <f t="shared" si="20"/>
        <v>1.0000000000000009E-2</v>
      </c>
      <c r="H177">
        <f t="shared" si="21"/>
        <v>0</v>
      </c>
      <c r="I177">
        <f t="shared" si="22"/>
        <v>0</v>
      </c>
      <c r="J177">
        <f>IF(ABS(D177-D176) &gt; $P$2, 1/2*(D177+D176)*9.81*B177 + J176, 0)</f>
        <v>0</v>
      </c>
      <c r="K177">
        <f>IF(ABS(E177-E176) &gt; $P$2, 1/2*(E177+E176)*9.81*B177 + K176, 0)</f>
        <v>0</v>
      </c>
      <c r="L177">
        <f>IF(ABS(F177-F176) &gt; $P$2, 1/2*(F177+F176)*9.81*B177 + L176, 0)</f>
        <v>0</v>
      </c>
      <c r="M177">
        <f t="shared" si="23"/>
        <v>0</v>
      </c>
      <c r="N177">
        <f t="shared" si="24"/>
        <v>0</v>
      </c>
      <c r="O177">
        <f t="shared" si="25"/>
        <v>-0.428647287825</v>
      </c>
      <c r="Q177">
        <v>73.55</v>
      </c>
      <c r="R177">
        <v>15.878</v>
      </c>
      <c r="S177">
        <f t="shared" si="26"/>
        <v>41.459999999999994</v>
      </c>
      <c r="T177">
        <f>SQRT(O177*O177)*100</f>
        <v>42.864728782500002</v>
      </c>
    </row>
    <row r="178" spans="1:20" x14ac:dyDescent="0.3">
      <c r="A178">
        <v>9812172</v>
      </c>
      <c r="B178">
        <f t="shared" si="18"/>
        <v>9.0999999999999998E-2</v>
      </c>
      <c r="C178">
        <f t="shared" si="19"/>
        <v>15.968999999999999</v>
      </c>
      <c r="D178">
        <v>-0.72</v>
      </c>
      <c r="E178">
        <v>0.03</v>
      </c>
      <c r="F178">
        <v>-0.71</v>
      </c>
      <c r="G178">
        <f t="shared" si="20"/>
        <v>0</v>
      </c>
      <c r="H178">
        <f t="shared" si="21"/>
        <v>1.0000000000000002E-2</v>
      </c>
      <c r="I178">
        <f t="shared" si="22"/>
        <v>1.0000000000000009E-2</v>
      </c>
      <c r="J178">
        <f>IF(ABS(D178-D177) &gt; $P$2, 1/2*(D178+D177)*9.81*B178 + J177, 0)</f>
        <v>0</v>
      </c>
      <c r="K178">
        <f>IF(ABS(E178-E177) &gt; $P$2, 1/2*(E178+E177)*9.81*B178 + K177, 0)</f>
        <v>0</v>
      </c>
      <c r="L178">
        <f>IF(ABS(F178-F177) &gt; $P$2, 1/2*(F178+F177)*9.81*B178 + L177, 0)</f>
        <v>0</v>
      </c>
      <c r="M178">
        <f t="shared" si="23"/>
        <v>0</v>
      </c>
      <c r="N178">
        <f t="shared" si="24"/>
        <v>0</v>
      </c>
      <c r="O178">
        <f t="shared" si="25"/>
        <v>-0.428647287825</v>
      </c>
      <c r="Q178">
        <v>73.75</v>
      </c>
      <c r="R178">
        <v>15.968999999999999</v>
      </c>
      <c r="S178">
        <f t="shared" si="26"/>
        <v>41.66</v>
      </c>
      <c r="T178">
        <f>SQRT(O178*O178)*100</f>
        <v>42.864728782500002</v>
      </c>
    </row>
    <row r="179" spans="1:20" x14ac:dyDescent="0.3">
      <c r="A179">
        <v>9812262</v>
      </c>
      <c r="B179">
        <f t="shared" si="18"/>
        <v>0.09</v>
      </c>
      <c r="C179">
        <f t="shared" si="19"/>
        <v>16.059000000000001</v>
      </c>
      <c r="D179">
        <v>-0.71</v>
      </c>
      <c r="E179">
        <v>0.03</v>
      </c>
      <c r="F179">
        <v>-0.7</v>
      </c>
      <c r="G179">
        <f t="shared" si="20"/>
        <v>1.0000000000000009E-2</v>
      </c>
      <c r="H179">
        <f t="shared" si="21"/>
        <v>0</v>
      </c>
      <c r="I179">
        <f t="shared" si="22"/>
        <v>1.0000000000000009E-2</v>
      </c>
      <c r="J179">
        <f>IF(ABS(D179-D178) &gt; $P$2, 1/2*(D179+D178)*9.81*B179 + J178, 0)</f>
        <v>0</v>
      </c>
      <c r="K179">
        <f>IF(ABS(E179-E178) &gt; $P$2, 1/2*(E179+E178)*9.81*B179 + K178, 0)</f>
        <v>0</v>
      </c>
      <c r="L179">
        <f>IF(ABS(F179-F178) &gt; $P$2, 1/2*(F179+F178)*9.81*B179 + L178, 0)</f>
        <v>0</v>
      </c>
      <c r="M179">
        <f t="shared" si="23"/>
        <v>0</v>
      </c>
      <c r="N179">
        <f t="shared" si="24"/>
        <v>0</v>
      </c>
      <c r="O179">
        <f t="shared" si="25"/>
        <v>-0.428647287825</v>
      </c>
      <c r="Q179">
        <v>73.959999999999994</v>
      </c>
      <c r="R179">
        <v>16.059000000000001</v>
      </c>
      <c r="S179">
        <f t="shared" si="26"/>
        <v>41.86999999999999</v>
      </c>
      <c r="T179">
        <f>SQRT(O179*O179)*100</f>
        <v>42.864728782500002</v>
      </c>
    </row>
    <row r="180" spans="1:20" x14ac:dyDescent="0.3">
      <c r="A180">
        <v>9812354</v>
      </c>
      <c r="B180">
        <f t="shared" si="18"/>
        <v>9.1999999999999998E-2</v>
      </c>
      <c r="C180">
        <f t="shared" si="19"/>
        <v>16.151</v>
      </c>
      <c r="D180">
        <v>-0.71</v>
      </c>
      <c r="E180">
        <v>0.04</v>
      </c>
      <c r="F180">
        <v>-0.71</v>
      </c>
      <c r="G180">
        <f t="shared" si="20"/>
        <v>0</v>
      </c>
      <c r="H180">
        <f t="shared" si="21"/>
        <v>1.0000000000000002E-2</v>
      </c>
      <c r="I180">
        <f t="shared" si="22"/>
        <v>1.0000000000000009E-2</v>
      </c>
      <c r="J180">
        <f>IF(ABS(D180-D179) &gt; $P$2, 1/2*(D180+D179)*9.81*B180 + J179, 0)</f>
        <v>0</v>
      </c>
      <c r="K180">
        <f>IF(ABS(E180-E179) &gt; $P$2, 1/2*(E180+E179)*9.81*B180 + K179, 0)</f>
        <v>0</v>
      </c>
      <c r="L180">
        <f>IF(ABS(F180-F179) &gt; $P$2, 1/2*(F180+F179)*9.81*B180 + L179, 0)</f>
        <v>0</v>
      </c>
      <c r="M180">
        <f t="shared" si="23"/>
        <v>0</v>
      </c>
      <c r="N180">
        <f t="shared" si="24"/>
        <v>0</v>
      </c>
      <c r="O180">
        <f t="shared" si="25"/>
        <v>-0.428647287825</v>
      </c>
      <c r="Q180">
        <v>73.75</v>
      </c>
      <c r="R180">
        <v>16.151</v>
      </c>
      <c r="S180">
        <f t="shared" si="26"/>
        <v>41.66</v>
      </c>
      <c r="T180">
        <f>SQRT(O180*O180)*100</f>
        <v>42.864728782500002</v>
      </c>
    </row>
    <row r="181" spans="1:20" x14ac:dyDescent="0.3">
      <c r="A181">
        <v>9812445</v>
      </c>
      <c r="B181">
        <f t="shared" si="18"/>
        <v>9.0999999999999998E-2</v>
      </c>
      <c r="C181">
        <f t="shared" si="19"/>
        <v>16.242000000000001</v>
      </c>
      <c r="D181">
        <v>-0.72</v>
      </c>
      <c r="E181">
        <v>0.03</v>
      </c>
      <c r="F181">
        <v>-0.72</v>
      </c>
      <c r="G181">
        <f t="shared" si="20"/>
        <v>1.0000000000000009E-2</v>
      </c>
      <c r="H181">
        <f t="shared" si="21"/>
        <v>1.0000000000000002E-2</v>
      </c>
      <c r="I181">
        <f t="shared" si="22"/>
        <v>1.0000000000000009E-2</v>
      </c>
      <c r="J181">
        <f>IF(ABS(D181-D180) &gt; $P$2, 1/2*(D181+D180)*9.81*B181 + J180, 0)</f>
        <v>0</v>
      </c>
      <c r="K181">
        <f>IF(ABS(E181-E180) &gt; $P$2, 1/2*(E181+E180)*9.81*B181 + K180, 0)</f>
        <v>0</v>
      </c>
      <c r="L181">
        <f>IF(ABS(F181-F180) &gt; $P$2, 1/2*(F181+F180)*9.81*B181 + L180, 0)</f>
        <v>0</v>
      </c>
      <c r="M181">
        <f t="shared" si="23"/>
        <v>0</v>
      </c>
      <c r="N181">
        <f t="shared" si="24"/>
        <v>0</v>
      </c>
      <c r="O181">
        <f t="shared" si="25"/>
        <v>-0.428647287825</v>
      </c>
      <c r="Q181">
        <v>73.959999999999994</v>
      </c>
      <c r="R181">
        <v>16.242000000000001</v>
      </c>
      <c r="S181">
        <f t="shared" si="26"/>
        <v>41.86999999999999</v>
      </c>
      <c r="T181">
        <f>SQRT(O181*O181)*100</f>
        <v>42.864728782500002</v>
      </c>
    </row>
    <row r="182" spans="1:20" x14ac:dyDescent="0.3">
      <c r="A182">
        <v>9812535</v>
      </c>
      <c r="B182">
        <f t="shared" si="18"/>
        <v>0.09</v>
      </c>
      <c r="C182">
        <f t="shared" si="19"/>
        <v>16.332000000000001</v>
      </c>
      <c r="D182">
        <v>-0.72</v>
      </c>
      <c r="E182">
        <v>0.03</v>
      </c>
      <c r="F182">
        <v>-0.71</v>
      </c>
      <c r="G182">
        <f t="shared" si="20"/>
        <v>0</v>
      </c>
      <c r="H182">
        <f t="shared" si="21"/>
        <v>0</v>
      </c>
      <c r="I182">
        <f t="shared" si="22"/>
        <v>1.0000000000000009E-2</v>
      </c>
      <c r="J182">
        <f>IF(ABS(D182-D181) &gt; $P$2, 1/2*(D182+D181)*9.81*B182 + J181, 0)</f>
        <v>0</v>
      </c>
      <c r="K182">
        <f>IF(ABS(E182-E181) &gt; $P$2, 1/2*(E182+E181)*9.81*B182 + K181, 0)</f>
        <v>0</v>
      </c>
      <c r="L182">
        <f>IF(ABS(F182-F181) &gt; $P$2, 1/2*(F182+F181)*9.81*B182 + L181, 0)</f>
        <v>0</v>
      </c>
      <c r="M182">
        <f t="shared" si="23"/>
        <v>0</v>
      </c>
      <c r="N182">
        <f t="shared" si="24"/>
        <v>0</v>
      </c>
      <c r="O182">
        <f t="shared" si="25"/>
        <v>-0.428647287825</v>
      </c>
      <c r="Q182">
        <v>73.959999999999994</v>
      </c>
      <c r="R182">
        <v>16.332000000000001</v>
      </c>
      <c r="S182">
        <f t="shared" si="26"/>
        <v>41.86999999999999</v>
      </c>
      <c r="T182">
        <f>SQRT(O182*O182)*100</f>
        <v>42.864728782500002</v>
      </c>
    </row>
    <row r="183" spans="1:20" x14ac:dyDescent="0.3">
      <c r="A183">
        <v>9812626</v>
      </c>
      <c r="B183">
        <f t="shared" si="18"/>
        <v>9.0999999999999998E-2</v>
      </c>
      <c r="C183">
        <f t="shared" si="19"/>
        <v>16.422999999999998</v>
      </c>
      <c r="D183">
        <v>-0.72</v>
      </c>
      <c r="E183">
        <v>0.03</v>
      </c>
      <c r="F183">
        <v>-0.7</v>
      </c>
      <c r="G183">
        <f t="shared" si="20"/>
        <v>0</v>
      </c>
      <c r="H183">
        <f t="shared" si="21"/>
        <v>0</v>
      </c>
      <c r="I183">
        <f t="shared" si="22"/>
        <v>1.0000000000000009E-2</v>
      </c>
      <c r="J183">
        <f>IF(ABS(D183-D182) &gt; $P$2, 1/2*(D183+D182)*9.81*B183 + J182, 0)</f>
        <v>0</v>
      </c>
      <c r="K183">
        <f>IF(ABS(E183-E182) &gt; $P$2, 1/2*(E183+E182)*9.81*B183 + K182, 0)</f>
        <v>0</v>
      </c>
      <c r="L183">
        <f>IF(ABS(F183-F182) &gt; $P$2, 1/2*(F183+F182)*9.81*B183 + L182, 0)</f>
        <v>0</v>
      </c>
      <c r="M183">
        <f t="shared" si="23"/>
        <v>0</v>
      </c>
      <c r="N183">
        <f t="shared" si="24"/>
        <v>0</v>
      </c>
      <c r="O183">
        <f t="shared" si="25"/>
        <v>-0.428647287825</v>
      </c>
      <c r="Q183">
        <v>74.17</v>
      </c>
      <c r="R183">
        <v>16.422999999999998</v>
      </c>
      <c r="S183">
        <f t="shared" si="26"/>
        <v>42.08</v>
      </c>
      <c r="T183">
        <f>SQRT(O183*O183)*100</f>
        <v>42.864728782500002</v>
      </c>
    </row>
    <row r="184" spans="1:20" x14ac:dyDescent="0.3">
      <c r="A184">
        <v>9812716</v>
      </c>
      <c r="B184">
        <f t="shared" si="18"/>
        <v>0.09</v>
      </c>
      <c r="C184">
        <f t="shared" si="19"/>
        <v>16.513000000000002</v>
      </c>
      <c r="D184">
        <v>-0.72</v>
      </c>
      <c r="E184">
        <v>0.03</v>
      </c>
      <c r="F184">
        <v>-0.7</v>
      </c>
      <c r="G184">
        <f t="shared" si="20"/>
        <v>0</v>
      </c>
      <c r="H184">
        <f t="shared" si="21"/>
        <v>0</v>
      </c>
      <c r="I184">
        <f t="shared" si="22"/>
        <v>0</v>
      </c>
      <c r="J184">
        <f>IF(ABS(D184-D183) &gt; $P$2, 1/2*(D184+D183)*9.81*B184 + J183, 0)</f>
        <v>0</v>
      </c>
      <c r="K184">
        <f>IF(ABS(E184-E183) &gt; $P$2, 1/2*(E184+E183)*9.81*B184 + K183, 0)</f>
        <v>0</v>
      </c>
      <c r="L184">
        <f>IF(ABS(F184-F183) &gt; $P$2, 1/2*(F184+F183)*9.81*B184 + L183, 0)</f>
        <v>0</v>
      </c>
      <c r="M184">
        <f t="shared" si="23"/>
        <v>0</v>
      </c>
      <c r="N184">
        <f t="shared" si="24"/>
        <v>0</v>
      </c>
      <c r="O184">
        <f t="shared" si="25"/>
        <v>-0.428647287825</v>
      </c>
      <c r="Q184">
        <v>74.17</v>
      </c>
      <c r="R184">
        <v>16.513000000000002</v>
      </c>
      <c r="S184">
        <f t="shared" si="26"/>
        <v>42.08</v>
      </c>
      <c r="T184">
        <f>SQRT(O184*O184)*100</f>
        <v>42.864728782500002</v>
      </c>
    </row>
    <row r="185" spans="1:20" x14ac:dyDescent="0.3">
      <c r="A185">
        <v>9812807</v>
      </c>
      <c r="B185">
        <f t="shared" si="18"/>
        <v>9.0999999999999998E-2</v>
      </c>
      <c r="C185">
        <f t="shared" si="19"/>
        <v>16.603999999999999</v>
      </c>
      <c r="D185">
        <v>-0.72</v>
      </c>
      <c r="E185">
        <v>0.03</v>
      </c>
      <c r="F185">
        <v>-0.7</v>
      </c>
      <c r="G185">
        <f t="shared" si="20"/>
        <v>0</v>
      </c>
      <c r="H185">
        <f t="shared" si="21"/>
        <v>0</v>
      </c>
      <c r="I185">
        <f t="shared" si="22"/>
        <v>0</v>
      </c>
      <c r="J185">
        <f>IF(ABS(D185-D184) &gt; $P$2, 1/2*(D185+D184)*9.81*B185 + J184, 0)</f>
        <v>0</v>
      </c>
      <c r="K185">
        <f>IF(ABS(E185-E184) &gt; $P$2, 1/2*(E185+E184)*9.81*B185 + K184, 0)</f>
        <v>0</v>
      </c>
      <c r="L185">
        <f>IF(ABS(F185-F184) &gt; $P$2, 1/2*(F185+F184)*9.81*B185 + L184, 0)</f>
        <v>0</v>
      </c>
      <c r="M185">
        <f t="shared" si="23"/>
        <v>0</v>
      </c>
      <c r="N185">
        <f t="shared" si="24"/>
        <v>0</v>
      </c>
      <c r="O185">
        <f t="shared" si="25"/>
        <v>-0.428647287825</v>
      </c>
      <c r="Q185">
        <v>73.959999999999994</v>
      </c>
      <c r="R185">
        <v>16.603999999999999</v>
      </c>
      <c r="S185">
        <f t="shared" si="26"/>
        <v>41.86999999999999</v>
      </c>
      <c r="T185">
        <f>SQRT(O185*O185)*100</f>
        <v>42.864728782500002</v>
      </c>
    </row>
    <row r="186" spans="1:20" x14ac:dyDescent="0.3">
      <c r="A186">
        <v>9812898</v>
      </c>
      <c r="B186">
        <f t="shared" si="18"/>
        <v>9.0999999999999998E-2</v>
      </c>
      <c r="C186">
        <f t="shared" si="19"/>
        <v>16.695</v>
      </c>
      <c r="D186">
        <v>-0.72</v>
      </c>
      <c r="E186">
        <v>0.03</v>
      </c>
      <c r="F186">
        <v>-0.71</v>
      </c>
      <c r="G186">
        <f t="shared" si="20"/>
        <v>0</v>
      </c>
      <c r="H186">
        <f t="shared" si="21"/>
        <v>0</v>
      </c>
      <c r="I186">
        <f t="shared" si="22"/>
        <v>1.0000000000000009E-2</v>
      </c>
      <c r="J186">
        <f>IF(ABS(D186-D185) &gt; $P$2, 1/2*(D186+D185)*9.81*B186 + J185, 0)</f>
        <v>0</v>
      </c>
      <c r="K186">
        <f>IF(ABS(E186-E185) &gt; $P$2, 1/2*(E186+E185)*9.81*B186 + K185, 0)</f>
        <v>0</v>
      </c>
      <c r="L186">
        <f>IF(ABS(F186-F185) &gt; $P$2, 1/2*(F186+F185)*9.81*B186 + L185, 0)</f>
        <v>0</v>
      </c>
      <c r="M186">
        <f t="shared" si="23"/>
        <v>0</v>
      </c>
      <c r="N186">
        <f t="shared" si="24"/>
        <v>0</v>
      </c>
      <c r="O186">
        <f t="shared" si="25"/>
        <v>-0.428647287825</v>
      </c>
      <c r="Q186">
        <v>73.75</v>
      </c>
      <c r="R186">
        <v>16.695</v>
      </c>
      <c r="S186">
        <f t="shared" si="26"/>
        <v>41.66</v>
      </c>
      <c r="T186">
        <f>SQRT(O186*O186)*100</f>
        <v>42.864728782500002</v>
      </c>
    </row>
    <row r="187" spans="1:20" x14ac:dyDescent="0.3">
      <c r="A187">
        <v>9812988</v>
      </c>
      <c r="B187">
        <f t="shared" si="18"/>
        <v>0.09</v>
      </c>
      <c r="C187">
        <f t="shared" si="19"/>
        <v>16.785</v>
      </c>
      <c r="D187">
        <v>-0.72</v>
      </c>
      <c r="E187">
        <v>0.03</v>
      </c>
      <c r="F187">
        <v>-0.71</v>
      </c>
      <c r="G187">
        <f t="shared" si="20"/>
        <v>0</v>
      </c>
      <c r="H187">
        <f t="shared" si="21"/>
        <v>0</v>
      </c>
      <c r="I187">
        <f t="shared" si="22"/>
        <v>0</v>
      </c>
      <c r="J187">
        <f>IF(ABS(D187-D186) &gt; $P$2, 1/2*(D187+D186)*9.81*B187 + J186, 0)</f>
        <v>0</v>
      </c>
      <c r="K187">
        <f>IF(ABS(E187-E186) &gt; $P$2, 1/2*(E187+E186)*9.81*B187 + K186, 0)</f>
        <v>0</v>
      </c>
      <c r="L187">
        <f>IF(ABS(F187-F186) &gt; $P$2, 1/2*(F187+F186)*9.81*B187 + L186, 0)</f>
        <v>0</v>
      </c>
      <c r="M187">
        <f t="shared" si="23"/>
        <v>0</v>
      </c>
      <c r="N187">
        <f t="shared" si="24"/>
        <v>0</v>
      </c>
      <c r="O187">
        <f t="shared" si="25"/>
        <v>-0.428647287825</v>
      </c>
      <c r="Q187">
        <v>74.38</v>
      </c>
      <c r="R187">
        <v>16.785</v>
      </c>
      <c r="S187">
        <f t="shared" si="26"/>
        <v>42.289999999999992</v>
      </c>
      <c r="T187">
        <f>SQRT(O187*O187)*100</f>
        <v>42.864728782500002</v>
      </c>
    </row>
    <row r="188" spans="1:20" x14ac:dyDescent="0.3">
      <c r="A188">
        <v>9813080</v>
      </c>
      <c r="B188">
        <f t="shared" si="18"/>
        <v>9.1999999999999998E-2</v>
      </c>
      <c r="C188">
        <f t="shared" si="19"/>
        <v>16.876999999999999</v>
      </c>
      <c r="D188">
        <v>-0.72</v>
      </c>
      <c r="E188">
        <v>0.03</v>
      </c>
      <c r="F188">
        <v>-0.7</v>
      </c>
      <c r="G188">
        <f t="shared" si="20"/>
        <v>0</v>
      </c>
      <c r="H188">
        <f t="shared" si="21"/>
        <v>0</v>
      </c>
      <c r="I188">
        <f t="shared" si="22"/>
        <v>1.0000000000000009E-2</v>
      </c>
      <c r="J188">
        <f>IF(ABS(D188-D187) &gt; $P$2, 1/2*(D188+D187)*9.81*B188 + J187, 0)</f>
        <v>0</v>
      </c>
      <c r="K188">
        <f>IF(ABS(E188-E187) &gt; $P$2, 1/2*(E188+E187)*9.81*B188 + K187, 0)</f>
        <v>0</v>
      </c>
      <c r="L188">
        <f>IF(ABS(F188-F187) &gt; $P$2, 1/2*(F188+F187)*9.81*B188 + L187, 0)</f>
        <v>0</v>
      </c>
      <c r="M188">
        <f t="shared" si="23"/>
        <v>0</v>
      </c>
      <c r="N188">
        <f t="shared" si="24"/>
        <v>0</v>
      </c>
      <c r="O188">
        <f t="shared" si="25"/>
        <v>-0.428647287825</v>
      </c>
      <c r="Q188">
        <v>74.38</v>
      </c>
      <c r="R188">
        <v>16.876999999999999</v>
      </c>
      <c r="S188">
        <f t="shared" si="26"/>
        <v>42.289999999999992</v>
      </c>
      <c r="T188">
        <f>SQRT(O188*O188)*100</f>
        <v>42.864728782500002</v>
      </c>
    </row>
    <row r="189" spans="1:20" x14ac:dyDescent="0.3">
      <c r="A189">
        <v>9813170</v>
      </c>
      <c r="B189">
        <f t="shared" si="18"/>
        <v>0.09</v>
      </c>
      <c r="C189">
        <f t="shared" si="19"/>
        <v>16.966999999999999</v>
      </c>
      <c r="D189">
        <v>-0.73</v>
      </c>
      <c r="E189">
        <v>0.03</v>
      </c>
      <c r="F189">
        <v>-0.71</v>
      </c>
      <c r="G189">
        <f t="shared" si="20"/>
        <v>1.0000000000000009E-2</v>
      </c>
      <c r="H189">
        <f t="shared" si="21"/>
        <v>0</v>
      </c>
      <c r="I189">
        <f t="shared" si="22"/>
        <v>1.0000000000000009E-2</v>
      </c>
      <c r="J189">
        <f>IF(ABS(D189-D188) &gt; $P$2, 1/2*(D189+D188)*9.81*B189 + J188, 0)</f>
        <v>0</v>
      </c>
      <c r="K189">
        <f>IF(ABS(E189-E188) &gt; $P$2, 1/2*(E189+E188)*9.81*B189 + K188, 0)</f>
        <v>0</v>
      </c>
      <c r="L189">
        <f>IF(ABS(F189-F188) &gt; $P$2, 1/2*(F189+F188)*9.81*B189 + L188, 0)</f>
        <v>0</v>
      </c>
      <c r="M189">
        <f t="shared" si="23"/>
        <v>0</v>
      </c>
      <c r="N189">
        <f t="shared" si="24"/>
        <v>0</v>
      </c>
      <c r="O189">
        <f t="shared" si="25"/>
        <v>-0.428647287825</v>
      </c>
      <c r="Q189">
        <v>74.17</v>
      </c>
      <c r="R189">
        <v>16.966999999999999</v>
      </c>
      <c r="S189">
        <f t="shared" si="26"/>
        <v>42.08</v>
      </c>
      <c r="T189">
        <f>SQRT(O189*O189)*100</f>
        <v>42.864728782500002</v>
      </c>
    </row>
    <row r="190" spans="1:20" x14ac:dyDescent="0.3">
      <c r="A190">
        <v>9813261</v>
      </c>
      <c r="B190">
        <f t="shared" si="18"/>
        <v>9.0999999999999998E-2</v>
      </c>
      <c r="C190">
        <f t="shared" si="19"/>
        <v>17.058</v>
      </c>
      <c r="D190">
        <v>-0.73</v>
      </c>
      <c r="E190">
        <v>0.03</v>
      </c>
      <c r="F190">
        <v>-0.7</v>
      </c>
      <c r="G190">
        <f t="shared" si="20"/>
        <v>0</v>
      </c>
      <c r="H190">
        <f t="shared" si="21"/>
        <v>0</v>
      </c>
      <c r="I190">
        <f t="shared" si="22"/>
        <v>1.0000000000000009E-2</v>
      </c>
      <c r="J190">
        <f>IF(ABS(D190-D189) &gt; $P$2, 1/2*(D190+D189)*9.81*B190 + J189, 0)</f>
        <v>0</v>
      </c>
      <c r="K190">
        <f>IF(ABS(E190-E189) &gt; $P$2, 1/2*(E190+E189)*9.81*B190 + K189, 0)</f>
        <v>0</v>
      </c>
      <c r="L190">
        <f>IF(ABS(F190-F189) &gt; $P$2, 1/2*(F190+F189)*9.81*B190 + L189, 0)</f>
        <v>0</v>
      </c>
      <c r="M190">
        <f t="shared" si="23"/>
        <v>0</v>
      </c>
      <c r="N190">
        <f t="shared" si="24"/>
        <v>0</v>
      </c>
      <c r="O190">
        <f t="shared" si="25"/>
        <v>-0.428647287825</v>
      </c>
      <c r="Q190">
        <v>74.59</v>
      </c>
      <c r="R190">
        <v>17.058</v>
      </c>
      <c r="S190">
        <f t="shared" si="26"/>
        <v>42.5</v>
      </c>
      <c r="T190">
        <f>SQRT(O190*O190)*100</f>
        <v>42.864728782500002</v>
      </c>
    </row>
    <row r="191" spans="1:20" x14ac:dyDescent="0.3">
      <c r="A191">
        <v>9813352</v>
      </c>
      <c r="B191">
        <f t="shared" si="18"/>
        <v>9.0999999999999998E-2</v>
      </c>
      <c r="C191">
        <f t="shared" si="19"/>
        <v>17.149000000000001</v>
      </c>
      <c r="D191">
        <v>-0.73</v>
      </c>
      <c r="E191">
        <v>0.03</v>
      </c>
      <c r="F191">
        <v>-0.7</v>
      </c>
      <c r="G191">
        <f t="shared" si="20"/>
        <v>0</v>
      </c>
      <c r="H191">
        <f t="shared" si="21"/>
        <v>0</v>
      </c>
      <c r="I191">
        <f t="shared" si="22"/>
        <v>0</v>
      </c>
      <c r="J191">
        <f>IF(ABS(D191-D190) &gt; $P$2, 1/2*(D191+D190)*9.81*B191 + J190, 0)</f>
        <v>0</v>
      </c>
      <c r="K191">
        <f>IF(ABS(E191-E190) &gt; $P$2, 1/2*(E191+E190)*9.81*B191 + K190, 0)</f>
        <v>0</v>
      </c>
      <c r="L191">
        <f>IF(ABS(F191-F190) &gt; $P$2, 1/2*(F191+F190)*9.81*B191 + L190, 0)</f>
        <v>0</v>
      </c>
      <c r="M191">
        <f t="shared" si="23"/>
        <v>0</v>
      </c>
      <c r="N191">
        <f t="shared" si="24"/>
        <v>0</v>
      </c>
      <c r="O191">
        <f t="shared" si="25"/>
        <v>-0.428647287825</v>
      </c>
      <c r="Q191">
        <v>74.38</v>
      </c>
      <c r="R191">
        <v>17.149000000000001</v>
      </c>
      <c r="S191">
        <f t="shared" si="26"/>
        <v>42.289999999999992</v>
      </c>
      <c r="T191">
        <f>SQRT(O191*O191)*100</f>
        <v>42.864728782500002</v>
      </c>
    </row>
    <row r="192" spans="1:20" x14ac:dyDescent="0.3">
      <c r="A192">
        <v>9813442</v>
      </c>
      <c r="B192">
        <f t="shared" si="18"/>
        <v>0.09</v>
      </c>
      <c r="C192">
        <f t="shared" si="19"/>
        <v>17.239000000000001</v>
      </c>
      <c r="D192">
        <v>-0.72</v>
      </c>
      <c r="E192">
        <v>0.03</v>
      </c>
      <c r="F192">
        <v>-0.71</v>
      </c>
      <c r="G192">
        <f t="shared" si="20"/>
        <v>1.0000000000000009E-2</v>
      </c>
      <c r="H192">
        <f t="shared" si="21"/>
        <v>0</v>
      </c>
      <c r="I192">
        <f t="shared" si="22"/>
        <v>1.0000000000000009E-2</v>
      </c>
      <c r="J192">
        <f>IF(ABS(D192-D191) &gt; $P$2, 1/2*(D192+D191)*9.81*B192 + J191, 0)</f>
        <v>0</v>
      </c>
      <c r="K192">
        <f>IF(ABS(E192-E191) &gt; $P$2, 1/2*(E192+E191)*9.81*B192 + K191, 0)</f>
        <v>0</v>
      </c>
      <c r="L192">
        <f>IF(ABS(F192-F191) &gt; $P$2, 1/2*(F192+F191)*9.81*B192 + L191, 0)</f>
        <v>0</v>
      </c>
      <c r="M192">
        <f t="shared" si="23"/>
        <v>0</v>
      </c>
      <c r="N192">
        <f t="shared" si="24"/>
        <v>0</v>
      </c>
      <c r="O192">
        <f t="shared" si="25"/>
        <v>-0.428647287825</v>
      </c>
      <c r="Q192">
        <v>74.59</v>
      </c>
      <c r="R192">
        <v>17.239000000000001</v>
      </c>
      <c r="S192">
        <f t="shared" si="26"/>
        <v>42.5</v>
      </c>
      <c r="T192">
        <f>SQRT(O192*O192)*100</f>
        <v>42.864728782500002</v>
      </c>
    </row>
    <row r="193" spans="1:20" x14ac:dyDescent="0.3">
      <c r="A193">
        <v>9813533</v>
      </c>
      <c r="B193">
        <f t="shared" si="18"/>
        <v>9.0999999999999998E-2</v>
      </c>
      <c r="C193">
        <f t="shared" si="19"/>
        <v>17.329999999999998</v>
      </c>
      <c r="D193">
        <v>-0.73</v>
      </c>
      <c r="E193">
        <v>0.03</v>
      </c>
      <c r="F193">
        <v>-0.7</v>
      </c>
      <c r="G193">
        <f t="shared" si="20"/>
        <v>1.0000000000000009E-2</v>
      </c>
      <c r="H193">
        <f t="shared" si="21"/>
        <v>0</v>
      </c>
      <c r="I193">
        <f t="shared" si="22"/>
        <v>1.0000000000000009E-2</v>
      </c>
      <c r="J193">
        <f>IF(ABS(D193-D192) &gt; $P$2, 1/2*(D193+D192)*9.81*B193 + J192, 0)</f>
        <v>0</v>
      </c>
      <c r="K193">
        <f>IF(ABS(E193-E192) &gt; $P$2, 1/2*(E193+E192)*9.81*B193 + K192, 0)</f>
        <v>0</v>
      </c>
      <c r="L193">
        <f>IF(ABS(F193-F192) &gt; $P$2, 1/2*(F193+F192)*9.81*B193 + L192, 0)</f>
        <v>0</v>
      </c>
      <c r="M193">
        <f t="shared" si="23"/>
        <v>0</v>
      </c>
      <c r="N193">
        <f t="shared" si="24"/>
        <v>0</v>
      </c>
      <c r="O193">
        <f t="shared" si="25"/>
        <v>-0.428647287825</v>
      </c>
      <c r="Q193">
        <v>74.38</v>
      </c>
      <c r="R193">
        <v>17.329999999999998</v>
      </c>
      <c r="S193">
        <f t="shared" si="26"/>
        <v>42.289999999999992</v>
      </c>
      <c r="T193">
        <f>SQRT(O193*O193)*100</f>
        <v>42.864728782500002</v>
      </c>
    </row>
    <row r="194" spans="1:20" x14ac:dyDescent="0.3">
      <c r="A194">
        <v>9813624</v>
      </c>
      <c r="B194">
        <f t="shared" si="18"/>
        <v>9.0999999999999998E-2</v>
      </c>
      <c r="C194">
        <f t="shared" si="19"/>
        <v>17.420999999999999</v>
      </c>
      <c r="D194">
        <v>-0.72</v>
      </c>
      <c r="E194">
        <v>0.03</v>
      </c>
      <c r="F194">
        <v>-0.7</v>
      </c>
      <c r="G194">
        <f t="shared" si="20"/>
        <v>1.0000000000000009E-2</v>
      </c>
      <c r="H194">
        <f t="shared" si="21"/>
        <v>0</v>
      </c>
      <c r="I194">
        <f t="shared" si="22"/>
        <v>0</v>
      </c>
      <c r="J194">
        <f>IF(ABS(D194-D193) &gt; $P$2, 1/2*(D194+D193)*9.81*B194 + J193, 0)</f>
        <v>0</v>
      </c>
      <c r="K194">
        <f>IF(ABS(E194-E193) &gt; $P$2, 1/2*(E194+E193)*9.81*B194 + K193, 0)</f>
        <v>0</v>
      </c>
      <c r="L194">
        <f>IF(ABS(F194-F193) &gt; $P$2, 1/2*(F194+F193)*9.81*B194 + L193, 0)</f>
        <v>0</v>
      </c>
      <c r="M194">
        <f t="shared" si="23"/>
        <v>0</v>
      </c>
      <c r="N194">
        <f t="shared" si="24"/>
        <v>0</v>
      </c>
      <c r="O194">
        <f t="shared" si="25"/>
        <v>-0.428647287825</v>
      </c>
      <c r="Q194">
        <v>74.38</v>
      </c>
      <c r="R194">
        <v>17.420999999999999</v>
      </c>
      <c r="S194">
        <f t="shared" si="26"/>
        <v>42.289999999999992</v>
      </c>
      <c r="T194">
        <f>SQRT(O194*O194)*100</f>
        <v>42.864728782500002</v>
      </c>
    </row>
    <row r="195" spans="1:20" x14ac:dyDescent="0.3">
      <c r="A195">
        <v>9813714</v>
      </c>
      <c r="B195">
        <f t="shared" si="18"/>
        <v>0.09</v>
      </c>
      <c r="C195">
        <f t="shared" si="19"/>
        <v>17.510999999999999</v>
      </c>
      <c r="D195">
        <v>-0.71</v>
      </c>
      <c r="E195">
        <v>0.02</v>
      </c>
      <c r="F195">
        <v>-0.7</v>
      </c>
      <c r="G195">
        <f t="shared" si="20"/>
        <v>1.0000000000000009E-2</v>
      </c>
      <c r="H195">
        <f t="shared" si="21"/>
        <v>9.9999999999999985E-3</v>
      </c>
      <c r="I195">
        <f t="shared" si="22"/>
        <v>0</v>
      </c>
      <c r="J195">
        <f>IF(ABS(D195-D194) &gt; $P$2, 1/2*(D195+D194)*9.81*B195 + J194, 0)</f>
        <v>0</v>
      </c>
      <c r="K195">
        <f>IF(ABS(E195-E194) &gt; $P$2, 1/2*(E195+E194)*9.81*B195 + K194, 0)</f>
        <v>0</v>
      </c>
      <c r="L195">
        <f>IF(ABS(F195-F194) &gt; $P$2, 1/2*(F195+F194)*9.81*B195 + L194, 0)</f>
        <v>0</v>
      </c>
      <c r="M195">
        <f t="shared" si="23"/>
        <v>0</v>
      </c>
      <c r="N195">
        <f t="shared" si="24"/>
        <v>0</v>
      </c>
      <c r="O195">
        <f t="shared" si="25"/>
        <v>-0.428647287825</v>
      </c>
      <c r="Q195">
        <v>74.8</v>
      </c>
      <c r="R195">
        <v>17.510999999999999</v>
      </c>
      <c r="S195">
        <f t="shared" si="26"/>
        <v>42.709999999999994</v>
      </c>
      <c r="T195">
        <f>SQRT(O195*O195)*100</f>
        <v>42.864728782500002</v>
      </c>
    </row>
    <row r="196" spans="1:20" x14ac:dyDescent="0.3">
      <c r="A196">
        <v>9813806</v>
      </c>
      <c r="B196">
        <f t="shared" ref="B196:B259" si="27">(A196-A195)/1000</f>
        <v>9.1999999999999998E-2</v>
      </c>
      <c r="C196">
        <f t="shared" ref="C196:C259" si="28">(A196-$A$2)/1000</f>
        <v>17.603000000000002</v>
      </c>
      <c r="D196">
        <v>-0.73</v>
      </c>
      <c r="E196">
        <v>0.03</v>
      </c>
      <c r="F196">
        <v>-0.7</v>
      </c>
      <c r="G196">
        <f t="shared" ref="G196:G259" si="29">ABS(D196-D195)</f>
        <v>2.0000000000000018E-2</v>
      </c>
      <c r="H196">
        <f t="shared" ref="H196:H259" si="30">ABS(E196-E195)</f>
        <v>9.9999999999999985E-3</v>
      </c>
      <c r="I196">
        <f t="shared" ref="I196:I259" si="31">ABS(F196-F195)</f>
        <v>0</v>
      </c>
      <c r="J196">
        <f>IF(ABS(D196-D195) &gt; $P$2, 1/2*(D196+D195)*9.81*B196 + J195, 0)</f>
        <v>0</v>
      </c>
      <c r="K196">
        <f>IF(ABS(E196-E195) &gt; $P$2, 1/2*(E196+E195)*9.81*B196 + K195, 0)</f>
        <v>0</v>
      </c>
      <c r="L196">
        <f>IF(ABS(F196-F195) &gt; $P$2, 1/2*(F196+F195)*9.81*B196 + L195, 0)</f>
        <v>0</v>
      </c>
      <c r="M196">
        <f t="shared" ref="M196:M259" si="32">1/2*(J196+J195)*B196 + M195</f>
        <v>0</v>
      </c>
      <c r="N196">
        <f t="shared" ref="N196:N259" si="33">1/2*(K196+K195)*B196 + N195</f>
        <v>0</v>
      </c>
      <c r="O196">
        <f t="shared" ref="O196:O259" si="34">1/2*(L196+L195)*B196 + O195</f>
        <v>-0.428647287825</v>
      </c>
      <c r="Q196">
        <v>74.59</v>
      </c>
      <c r="R196">
        <v>17.603000000000002</v>
      </c>
      <c r="S196">
        <f t="shared" ref="S196:S259" si="35">Q196-$Q$2</f>
        <v>42.5</v>
      </c>
      <c r="T196">
        <f>SQRT(O196*O196)*100</f>
        <v>42.864728782500002</v>
      </c>
    </row>
    <row r="197" spans="1:20" x14ac:dyDescent="0.3">
      <c r="A197">
        <v>9813896</v>
      </c>
      <c r="B197">
        <f t="shared" si="27"/>
        <v>0.09</v>
      </c>
      <c r="C197">
        <f t="shared" si="28"/>
        <v>17.693000000000001</v>
      </c>
      <c r="D197">
        <v>-0.73</v>
      </c>
      <c r="E197">
        <v>0.03</v>
      </c>
      <c r="F197">
        <v>-0.7</v>
      </c>
      <c r="G197">
        <f t="shared" si="29"/>
        <v>0</v>
      </c>
      <c r="H197">
        <f t="shared" si="30"/>
        <v>0</v>
      </c>
      <c r="I197">
        <f t="shared" si="31"/>
        <v>0</v>
      </c>
      <c r="J197">
        <f>IF(ABS(D197-D196) &gt; $P$2, 1/2*(D197+D196)*9.81*B197 + J196, 0)</f>
        <v>0</v>
      </c>
      <c r="K197">
        <f>IF(ABS(E197-E196) &gt; $P$2, 1/2*(E197+E196)*9.81*B197 + K196, 0)</f>
        <v>0</v>
      </c>
      <c r="L197">
        <f>IF(ABS(F197-F196) &gt; $P$2, 1/2*(F197+F196)*9.81*B197 + L196, 0)</f>
        <v>0</v>
      </c>
      <c r="M197">
        <f t="shared" si="32"/>
        <v>0</v>
      </c>
      <c r="N197">
        <f t="shared" si="33"/>
        <v>0</v>
      </c>
      <c r="O197">
        <f t="shared" si="34"/>
        <v>-0.428647287825</v>
      </c>
      <c r="Q197">
        <v>74.59</v>
      </c>
      <c r="R197">
        <v>17.693000000000001</v>
      </c>
      <c r="S197">
        <f t="shared" si="35"/>
        <v>42.5</v>
      </c>
      <c r="T197">
        <f>SQRT(O197*O197)*100</f>
        <v>42.864728782500002</v>
      </c>
    </row>
    <row r="198" spans="1:20" x14ac:dyDescent="0.3">
      <c r="A198">
        <v>9813987</v>
      </c>
      <c r="B198">
        <f t="shared" si="27"/>
        <v>9.0999999999999998E-2</v>
      </c>
      <c r="C198">
        <f t="shared" si="28"/>
        <v>17.783999999999999</v>
      </c>
      <c r="D198">
        <v>-0.73</v>
      </c>
      <c r="E198">
        <v>0.03</v>
      </c>
      <c r="F198">
        <v>-0.7</v>
      </c>
      <c r="G198">
        <f t="shared" si="29"/>
        <v>0</v>
      </c>
      <c r="H198">
        <f t="shared" si="30"/>
        <v>0</v>
      </c>
      <c r="I198">
        <f t="shared" si="31"/>
        <v>0</v>
      </c>
      <c r="J198">
        <f>IF(ABS(D198-D197) &gt; $P$2, 1/2*(D198+D197)*9.81*B198 + J197, 0)</f>
        <v>0</v>
      </c>
      <c r="K198">
        <f>IF(ABS(E198-E197) &gt; $P$2, 1/2*(E198+E197)*9.81*B198 + K197, 0)</f>
        <v>0</v>
      </c>
      <c r="L198">
        <f>IF(ABS(F198-F197) &gt; $P$2, 1/2*(F198+F197)*9.81*B198 + L197, 0)</f>
        <v>0</v>
      </c>
      <c r="M198">
        <f t="shared" si="32"/>
        <v>0</v>
      </c>
      <c r="N198">
        <f t="shared" si="33"/>
        <v>0</v>
      </c>
      <c r="O198">
        <f t="shared" si="34"/>
        <v>-0.428647287825</v>
      </c>
      <c r="Q198">
        <v>74.8</v>
      </c>
      <c r="R198">
        <v>17.783999999999999</v>
      </c>
      <c r="S198">
        <f t="shared" si="35"/>
        <v>42.709999999999994</v>
      </c>
      <c r="T198">
        <f>SQRT(O198*O198)*100</f>
        <v>42.864728782500002</v>
      </c>
    </row>
    <row r="199" spans="1:20" x14ac:dyDescent="0.3">
      <c r="A199">
        <v>9814078</v>
      </c>
      <c r="B199">
        <f t="shared" si="27"/>
        <v>9.0999999999999998E-2</v>
      </c>
      <c r="C199">
        <f t="shared" si="28"/>
        <v>17.875</v>
      </c>
      <c r="D199">
        <v>-0.73</v>
      </c>
      <c r="E199">
        <v>0.03</v>
      </c>
      <c r="F199">
        <v>-0.7</v>
      </c>
      <c r="G199">
        <f t="shared" si="29"/>
        <v>0</v>
      </c>
      <c r="H199">
        <f t="shared" si="30"/>
        <v>0</v>
      </c>
      <c r="I199">
        <f t="shared" si="31"/>
        <v>0</v>
      </c>
      <c r="J199">
        <f>IF(ABS(D199-D198) &gt; $P$2, 1/2*(D199+D198)*9.81*B199 + J198, 0)</f>
        <v>0</v>
      </c>
      <c r="K199">
        <f>IF(ABS(E199-E198) &gt; $P$2, 1/2*(E199+E198)*9.81*B199 + K198, 0)</f>
        <v>0</v>
      </c>
      <c r="L199">
        <f>IF(ABS(F199-F198) &gt; $P$2, 1/2*(F199+F198)*9.81*B199 + L198, 0)</f>
        <v>0</v>
      </c>
      <c r="M199">
        <f t="shared" si="32"/>
        <v>0</v>
      </c>
      <c r="N199">
        <f t="shared" si="33"/>
        <v>0</v>
      </c>
      <c r="O199">
        <f t="shared" si="34"/>
        <v>-0.428647287825</v>
      </c>
      <c r="Q199">
        <v>75.42</v>
      </c>
      <c r="R199">
        <v>17.875</v>
      </c>
      <c r="S199">
        <f t="shared" si="35"/>
        <v>43.33</v>
      </c>
      <c r="T199">
        <f>SQRT(O199*O199)*100</f>
        <v>42.864728782500002</v>
      </c>
    </row>
    <row r="200" spans="1:20" x14ac:dyDescent="0.3">
      <c r="A200">
        <v>9814168</v>
      </c>
      <c r="B200">
        <f t="shared" si="27"/>
        <v>0.09</v>
      </c>
      <c r="C200">
        <f t="shared" si="28"/>
        <v>17.965</v>
      </c>
      <c r="D200">
        <v>-0.73</v>
      </c>
      <c r="E200">
        <v>0.04</v>
      </c>
      <c r="F200">
        <v>-0.69</v>
      </c>
      <c r="G200">
        <f t="shared" si="29"/>
        <v>0</v>
      </c>
      <c r="H200">
        <f t="shared" si="30"/>
        <v>1.0000000000000002E-2</v>
      </c>
      <c r="I200">
        <f t="shared" si="31"/>
        <v>1.0000000000000009E-2</v>
      </c>
      <c r="J200">
        <f>IF(ABS(D200-D199) &gt; $P$2, 1/2*(D200+D199)*9.81*B200 + J199, 0)</f>
        <v>0</v>
      </c>
      <c r="K200">
        <f>IF(ABS(E200-E199) &gt; $P$2, 1/2*(E200+E199)*9.81*B200 + K199, 0)</f>
        <v>0</v>
      </c>
      <c r="L200">
        <f>IF(ABS(F200-F199) &gt; $P$2, 1/2*(F200+F199)*9.81*B200 + L199, 0)</f>
        <v>0</v>
      </c>
      <c r="M200">
        <f t="shared" si="32"/>
        <v>0</v>
      </c>
      <c r="N200">
        <f t="shared" si="33"/>
        <v>0</v>
      </c>
      <c r="O200">
        <f t="shared" si="34"/>
        <v>-0.428647287825</v>
      </c>
      <c r="Q200">
        <v>74.59</v>
      </c>
      <c r="R200">
        <v>17.965</v>
      </c>
      <c r="S200">
        <f t="shared" si="35"/>
        <v>42.5</v>
      </c>
      <c r="T200">
        <f>SQRT(O200*O200)*100</f>
        <v>42.864728782500002</v>
      </c>
    </row>
    <row r="201" spans="1:20" x14ac:dyDescent="0.3">
      <c r="A201">
        <v>9814259</v>
      </c>
      <c r="B201">
        <f t="shared" si="27"/>
        <v>9.0999999999999998E-2</v>
      </c>
      <c r="C201">
        <f t="shared" si="28"/>
        <v>18.056000000000001</v>
      </c>
      <c r="D201">
        <v>-0.73</v>
      </c>
      <c r="E201">
        <v>0.04</v>
      </c>
      <c r="F201">
        <v>-0.7</v>
      </c>
      <c r="G201">
        <f t="shared" si="29"/>
        <v>0</v>
      </c>
      <c r="H201">
        <f t="shared" si="30"/>
        <v>0</v>
      </c>
      <c r="I201">
        <f t="shared" si="31"/>
        <v>1.0000000000000009E-2</v>
      </c>
      <c r="J201">
        <f>IF(ABS(D201-D200) &gt; $P$2, 1/2*(D201+D200)*9.81*B201 + J200, 0)</f>
        <v>0</v>
      </c>
      <c r="K201">
        <f>IF(ABS(E201-E200) &gt; $P$2, 1/2*(E201+E200)*9.81*B201 + K200, 0)</f>
        <v>0</v>
      </c>
      <c r="L201">
        <f>IF(ABS(F201-F200) &gt; $P$2, 1/2*(F201+F200)*9.81*B201 + L200, 0)</f>
        <v>0</v>
      </c>
      <c r="M201">
        <f t="shared" si="32"/>
        <v>0</v>
      </c>
      <c r="N201">
        <f t="shared" si="33"/>
        <v>0</v>
      </c>
      <c r="O201">
        <f t="shared" si="34"/>
        <v>-0.428647287825</v>
      </c>
      <c r="Q201">
        <v>74.17</v>
      </c>
      <c r="R201">
        <v>18.056000000000001</v>
      </c>
      <c r="S201">
        <f t="shared" si="35"/>
        <v>42.08</v>
      </c>
      <c r="T201">
        <f>SQRT(O201*O201)*100</f>
        <v>42.864728782500002</v>
      </c>
    </row>
    <row r="202" spans="1:20" x14ac:dyDescent="0.3">
      <c r="A202">
        <v>9814349</v>
      </c>
      <c r="B202">
        <f t="shared" si="27"/>
        <v>0.09</v>
      </c>
      <c r="C202">
        <f t="shared" si="28"/>
        <v>18.146000000000001</v>
      </c>
      <c r="D202">
        <v>-0.73</v>
      </c>
      <c r="E202">
        <v>0.04</v>
      </c>
      <c r="F202">
        <v>-0.7</v>
      </c>
      <c r="G202">
        <f t="shared" si="29"/>
        <v>0</v>
      </c>
      <c r="H202">
        <f t="shared" si="30"/>
        <v>0</v>
      </c>
      <c r="I202">
        <f t="shared" si="31"/>
        <v>0</v>
      </c>
      <c r="J202">
        <f>IF(ABS(D202-D201) &gt; $P$2, 1/2*(D202+D201)*9.81*B202 + J201, 0)</f>
        <v>0</v>
      </c>
      <c r="K202">
        <f>IF(ABS(E202-E201) &gt; $P$2, 1/2*(E202+E201)*9.81*B202 + K201, 0)</f>
        <v>0</v>
      </c>
      <c r="L202">
        <f>IF(ABS(F202-F201) &gt; $P$2, 1/2*(F202+F201)*9.81*B202 + L201, 0)</f>
        <v>0</v>
      </c>
      <c r="M202">
        <f t="shared" si="32"/>
        <v>0</v>
      </c>
      <c r="N202">
        <f t="shared" si="33"/>
        <v>0</v>
      </c>
      <c r="O202">
        <f t="shared" si="34"/>
        <v>-0.428647287825</v>
      </c>
      <c r="Q202">
        <v>74.59</v>
      </c>
      <c r="R202">
        <v>18.146000000000001</v>
      </c>
      <c r="S202">
        <f t="shared" si="35"/>
        <v>42.5</v>
      </c>
      <c r="T202">
        <f>SQRT(O202*O202)*100</f>
        <v>42.864728782500002</v>
      </c>
    </row>
    <row r="203" spans="1:20" x14ac:dyDescent="0.3">
      <c r="A203">
        <v>9814440</v>
      </c>
      <c r="B203">
        <f t="shared" si="27"/>
        <v>9.0999999999999998E-2</v>
      </c>
      <c r="C203">
        <f t="shared" si="28"/>
        <v>18.236999999999998</v>
      </c>
      <c r="D203">
        <v>-0.73</v>
      </c>
      <c r="E203">
        <v>0.04</v>
      </c>
      <c r="F203">
        <v>-0.7</v>
      </c>
      <c r="G203">
        <f t="shared" si="29"/>
        <v>0</v>
      </c>
      <c r="H203">
        <f t="shared" si="30"/>
        <v>0</v>
      </c>
      <c r="I203">
        <f t="shared" si="31"/>
        <v>0</v>
      </c>
      <c r="J203">
        <f>IF(ABS(D203-D202) &gt; $P$2, 1/2*(D203+D202)*9.81*B203 + J202, 0)</f>
        <v>0</v>
      </c>
      <c r="K203">
        <f>IF(ABS(E203-E202) &gt; $P$2, 1/2*(E203+E202)*9.81*B203 + K202, 0)</f>
        <v>0</v>
      </c>
      <c r="L203">
        <f>IF(ABS(F203-F202) &gt; $P$2, 1/2*(F203+F202)*9.81*B203 + L202, 0)</f>
        <v>0</v>
      </c>
      <c r="M203">
        <f t="shared" si="32"/>
        <v>0</v>
      </c>
      <c r="N203">
        <f t="shared" si="33"/>
        <v>0</v>
      </c>
      <c r="O203">
        <f t="shared" si="34"/>
        <v>-0.428647287825</v>
      </c>
      <c r="Q203">
        <v>74.8</v>
      </c>
      <c r="R203">
        <v>18.236999999999998</v>
      </c>
      <c r="S203">
        <f t="shared" si="35"/>
        <v>42.709999999999994</v>
      </c>
      <c r="T203">
        <f>SQRT(O203*O203)*100</f>
        <v>42.864728782500002</v>
      </c>
    </row>
    <row r="204" spans="1:20" x14ac:dyDescent="0.3">
      <c r="A204">
        <v>9814532</v>
      </c>
      <c r="B204">
        <f t="shared" si="27"/>
        <v>9.1999999999999998E-2</v>
      </c>
      <c r="C204">
        <f t="shared" si="28"/>
        <v>18.329000000000001</v>
      </c>
      <c r="D204">
        <v>-0.73</v>
      </c>
      <c r="E204">
        <v>0.03</v>
      </c>
      <c r="F204">
        <v>-0.7</v>
      </c>
      <c r="G204">
        <f t="shared" si="29"/>
        <v>0</v>
      </c>
      <c r="H204">
        <f t="shared" si="30"/>
        <v>1.0000000000000002E-2</v>
      </c>
      <c r="I204">
        <f t="shared" si="31"/>
        <v>0</v>
      </c>
      <c r="J204">
        <f>IF(ABS(D204-D203) &gt; $P$2, 1/2*(D204+D203)*9.81*B204 + J203, 0)</f>
        <v>0</v>
      </c>
      <c r="K204">
        <f>IF(ABS(E204-E203) &gt; $P$2, 1/2*(E204+E203)*9.81*B204 + K203, 0)</f>
        <v>0</v>
      </c>
      <c r="L204">
        <f>IF(ABS(F204-F203) &gt; $P$2, 1/2*(F204+F203)*9.81*B204 + L203, 0)</f>
        <v>0</v>
      </c>
      <c r="M204">
        <f t="shared" si="32"/>
        <v>0</v>
      </c>
      <c r="N204">
        <f t="shared" si="33"/>
        <v>0</v>
      </c>
      <c r="O204">
        <f t="shared" si="34"/>
        <v>-0.428647287825</v>
      </c>
      <c r="Q204">
        <v>74.59</v>
      </c>
      <c r="R204">
        <v>18.329000000000001</v>
      </c>
      <c r="S204">
        <f t="shared" si="35"/>
        <v>42.5</v>
      </c>
      <c r="T204">
        <f>SQRT(O204*O204)*100</f>
        <v>42.864728782500002</v>
      </c>
    </row>
    <row r="205" spans="1:20" x14ac:dyDescent="0.3">
      <c r="A205">
        <v>9814622</v>
      </c>
      <c r="B205">
        <f t="shared" si="27"/>
        <v>0.09</v>
      </c>
      <c r="C205">
        <f t="shared" si="28"/>
        <v>18.419</v>
      </c>
      <c r="D205">
        <v>-0.73</v>
      </c>
      <c r="E205">
        <v>0.03</v>
      </c>
      <c r="F205">
        <v>-0.7</v>
      </c>
      <c r="G205">
        <f t="shared" si="29"/>
        <v>0</v>
      </c>
      <c r="H205">
        <f t="shared" si="30"/>
        <v>0</v>
      </c>
      <c r="I205">
        <f t="shared" si="31"/>
        <v>0</v>
      </c>
      <c r="J205">
        <f>IF(ABS(D205-D204) &gt; $P$2, 1/2*(D205+D204)*9.81*B205 + J204, 0)</f>
        <v>0</v>
      </c>
      <c r="K205">
        <f>IF(ABS(E205-E204) &gt; $P$2, 1/2*(E205+E204)*9.81*B205 + K204, 0)</f>
        <v>0</v>
      </c>
      <c r="L205">
        <f>IF(ABS(F205-F204) &gt; $P$2, 1/2*(F205+F204)*9.81*B205 + L204, 0)</f>
        <v>0</v>
      </c>
      <c r="M205">
        <f t="shared" si="32"/>
        <v>0</v>
      </c>
      <c r="N205">
        <f t="shared" si="33"/>
        <v>0</v>
      </c>
      <c r="O205">
        <f t="shared" si="34"/>
        <v>-0.428647287825</v>
      </c>
      <c r="Q205">
        <v>75</v>
      </c>
      <c r="R205">
        <v>18.419</v>
      </c>
      <c r="S205">
        <f t="shared" si="35"/>
        <v>42.91</v>
      </c>
      <c r="T205">
        <f>SQRT(O205*O205)*100</f>
        <v>42.864728782500002</v>
      </c>
    </row>
    <row r="206" spans="1:20" x14ac:dyDescent="0.3">
      <c r="A206">
        <v>9814713</v>
      </c>
      <c r="B206">
        <f t="shared" si="27"/>
        <v>9.0999999999999998E-2</v>
      </c>
      <c r="C206">
        <f t="shared" si="28"/>
        <v>18.510000000000002</v>
      </c>
      <c r="D206">
        <v>-0.72</v>
      </c>
      <c r="E206">
        <v>0.04</v>
      </c>
      <c r="F206">
        <v>-0.7</v>
      </c>
      <c r="G206">
        <f t="shared" si="29"/>
        <v>1.0000000000000009E-2</v>
      </c>
      <c r="H206">
        <f t="shared" si="30"/>
        <v>1.0000000000000002E-2</v>
      </c>
      <c r="I206">
        <f t="shared" si="31"/>
        <v>0</v>
      </c>
      <c r="J206">
        <f>IF(ABS(D206-D205) &gt; $P$2, 1/2*(D206+D205)*9.81*B206 + J205, 0)</f>
        <v>0</v>
      </c>
      <c r="K206">
        <f>IF(ABS(E206-E205) &gt; $P$2, 1/2*(E206+E205)*9.81*B206 + K205, 0)</f>
        <v>0</v>
      </c>
      <c r="L206">
        <f>IF(ABS(F206-F205) &gt; $P$2, 1/2*(F206+F205)*9.81*B206 + L205, 0)</f>
        <v>0</v>
      </c>
      <c r="M206">
        <f t="shared" si="32"/>
        <v>0</v>
      </c>
      <c r="N206">
        <f t="shared" si="33"/>
        <v>0</v>
      </c>
      <c r="O206">
        <f t="shared" si="34"/>
        <v>-0.428647287825</v>
      </c>
      <c r="Q206">
        <v>74.8</v>
      </c>
      <c r="R206">
        <v>18.510000000000002</v>
      </c>
      <c r="S206">
        <f t="shared" si="35"/>
        <v>42.709999999999994</v>
      </c>
      <c r="T206">
        <f>SQRT(O206*O206)*100</f>
        <v>42.864728782500002</v>
      </c>
    </row>
    <row r="207" spans="1:20" x14ac:dyDescent="0.3">
      <c r="A207">
        <v>9814803</v>
      </c>
      <c r="B207">
        <f t="shared" si="27"/>
        <v>0.09</v>
      </c>
      <c r="C207">
        <f t="shared" si="28"/>
        <v>18.600000000000001</v>
      </c>
      <c r="D207">
        <v>-0.73</v>
      </c>
      <c r="E207">
        <v>0.03</v>
      </c>
      <c r="F207">
        <v>-0.7</v>
      </c>
      <c r="G207">
        <f t="shared" si="29"/>
        <v>1.0000000000000009E-2</v>
      </c>
      <c r="H207">
        <f t="shared" si="30"/>
        <v>1.0000000000000002E-2</v>
      </c>
      <c r="I207">
        <f t="shared" si="31"/>
        <v>0</v>
      </c>
      <c r="J207">
        <f>IF(ABS(D207-D206) &gt; $P$2, 1/2*(D207+D206)*9.81*B207 + J206, 0)</f>
        <v>0</v>
      </c>
      <c r="K207">
        <f>IF(ABS(E207-E206) &gt; $P$2, 1/2*(E207+E206)*9.81*B207 + K206, 0)</f>
        <v>0</v>
      </c>
      <c r="L207">
        <f>IF(ABS(F207-F206) &gt; $P$2, 1/2*(F207+F206)*9.81*B207 + L206, 0)</f>
        <v>0</v>
      </c>
      <c r="M207">
        <f t="shared" si="32"/>
        <v>0</v>
      </c>
      <c r="N207">
        <f t="shared" si="33"/>
        <v>0</v>
      </c>
      <c r="O207">
        <f t="shared" si="34"/>
        <v>-0.428647287825</v>
      </c>
      <c r="Q207">
        <v>74.59</v>
      </c>
      <c r="R207">
        <v>18.600000000000001</v>
      </c>
      <c r="S207">
        <f t="shared" si="35"/>
        <v>42.5</v>
      </c>
      <c r="T207">
        <f>SQRT(O207*O207)*100</f>
        <v>42.864728782500002</v>
      </c>
    </row>
    <row r="208" spans="1:20" x14ac:dyDescent="0.3">
      <c r="A208">
        <v>9814894</v>
      </c>
      <c r="B208">
        <f t="shared" si="27"/>
        <v>9.0999999999999998E-2</v>
      </c>
      <c r="C208">
        <f t="shared" si="28"/>
        <v>18.690999999999999</v>
      </c>
      <c r="D208">
        <v>-0.73</v>
      </c>
      <c r="E208">
        <v>0.03</v>
      </c>
      <c r="F208">
        <v>-0.69</v>
      </c>
      <c r="G208">
        <f t="shared" si="29"/>
        <v>0</v>
      </c>
      <c r="H208">
        <f t="shared" si="30"/>
        <v>0</v>
      </c>
      <c r="I208">
        <f t="shared" si="31"/>
        <v>1.0000000000000009E-2</v>
      </c>
      <c r="J208">
        <f>IF(ABS(D208-D207) &gt; $P$2, 1/2*(D208+D207)*9.81*B208 + J207, 0)</f>
        <v>0</v>
      </c>
      <c r="K208">
        <f>IF(ABS(E208-E207) &gt; $P$2, 1/2*(E208+E207)*9.81*B208 + K207, 0)</f>
        <v>0</v>
      </c>
      <c r="L208">
        <f>IF(ABS(F208-F207) &gt; $P$2, 1/2*(F208+F207)*9.81*B208 + L207, 0)</f>
        <v>0</v>
      </c>
      <c r="M208">
        <f t="shared" si="32"/>
        <v>0</v>
      </c>
      <c r="N208">
        <f t="shared" si="33"/>
        <v>0</v>
      </c>
      <c r="O208">
        <f t="shared" si="34"/>
        <v>-0.428647287825</v>
      </c>
      <c r="Q208">
        <v>74.8</v>
      </c>
      <c r="R208">
        <v>18.690999999999999</v>
      </c>
      <c r="S208">
        <f t="shared" si="35"/>
        <v>42.709999999999994</v>
      </c>
      <c r="T208">
        <f>SQRT(O208*O208)*100</f>
        <v>42.864728782500002</v>
      </c>
    </row>
    <row r="209" spans="1:20" x14ac:dyDescent="0.3">
      <c r="A209">
        <v>9814985</v>
      </c>
      <c r="B209">
        <f t="shared" si="27"/>
        <v>9.0999999999999998E-2</v>
      </c>
      <c r="C209">
        <f t="shared" si="28"/>
        <v>18.782</v>
      </c>
      <c r="D209">
        <v>-0.73</v>
      </c>
      <c r="E209">
        <v>0.04</v>
      </c>
      <c r="F209">
        <v>-0.7</v>
      </c>
      <c r="G209">
        <f t="shared" si="29"/>
        <v>0</v>
      </c>
      <c r="H209">
        <f t="shared" si="30"/>
        <v>1.0000000000000002E-2</v>
      </c>
      <c r="I209">
        <f t="shared" si="31"/>
        <v>1.0000000000000009E-2</v>
      </c>
      <c r="J209">
        <f>IF(ABS(D209-D208) &gt; $P$2, 1/2*(D209+D208)*9.81*B209 + J208, 0)</f>
        <v>0</v>
      </c>
      <c r="K209">
        <f>IF(ABS(E209-E208) &gt; $P$2, 1/2*(E209+E208)*9.81*B209 + K208, 0)</f>
        <v>0</v>
      </c>
      <c r="L209">
        <f>IF(ABS(F209-F208) &gt; $P$2, 1/2*(F209+F208)*9.81*B209 + L208, 0)</f>
        <v>0</v>
      </c>
      <c r="M209">
        <f t="shared" si="32"/>
        <v>0</v>
      </c>
      <c r="N209">
        <f t="shared" si="33"/>
        <v>0</v>
      </c>
      <c r="O209">
        <f t="shared" si="34"/>
        <v>-0.428647287825</v>
      </c>
      <c r="Q209">
        <v>74.8</v>
      </c>
      <c r="R209">
        <v>18.782</v>
      </c>
      <c r="S209">
        <f t="shared" si="35"/>
        <v>42.709999999999994</v>
      </c>
      <c r="T209">
        <f>SQRT(O209*O209)*100</f>
        <v>42.864728782500002</v>
      </c>
    </row>
    <row r="210" spans="1:20" x14ac:dyDescent="0.3">
      <c r="A210">
        <v>9815075</v>
      </c>
      <c r="B210">
        <f t="shared" si="27"/>
        <v>0.09</v>
      </c>
      <c r="C210">
        <f t="shared" si="28"/>
        <v>18.872</v>
      </c>
      <c r="D210">
        <v>-0.73</v>
      </c>
      <c r="E210">
        <v>0.04</v>
      </c>
      <c r="F210">
        <v>-0.69</v>
      </c>
      <c r="G210">
        <f t="shared" si="29"/>
        <v>0</v>
      </c>
      <c r="H210">
        <f t="shared" si="30"/>
        <v>0</v>
      </c>
      <c r="I210">
        <f t="shared" si="31"/>
        <v>1.0000000000000009E-2</v>
      </c>
      <c r="J210">
        <f>IF(ABS(D210-D209) &gt; $P$2, 1/2*(D210+D209)*9.81*B210 + J209, 0)</f>
        <v>0</v>
      </c>
      <c r="K210">
        <f>IF(ABS(E210-E209) &gt; $P$2, 1/2*(E210+E209)*9.81*B210 + K209, 0)</f>
        <v>0</v>
      </c>
      <c r="L210">
        <f>IF(ABS(F210-F209) &gt; $P$2, 1/2*(F210+F209)*9.81*B210 + L209, 0)</f>
        <v>0</v>
      </c>
      <c r="M210">
        <f t="shared" si="32"/>
        <v>0</v>
      </c>
      <c r="N210">
        <f t="shared" si="33"/>
        <v>0</v>
      </c>
      <c r="O210">
        <f t="shared" si="34"/>
        <v>-0.428647287825</v>
      </c>
      <c r="Q210">
        <v>74.59</v>
      </c>
      <c r="R210">
        <v>18.872</v>
      </c>
      <c r="S210">
        <f t="shared" si="35"/>
        <v>42.5</v>
      </c>
      <c r="T210">
        <f>SQRT(O210*O210)*100</f>
        <v>42.864728782500002</v>
      </c>
    </row>
    <row r="211" spans="1:20" x14ac:dyDescent="0.3">
      <c r="A211">
        <v>9815166</v>
      </c>
      <c r="B211">
        <f t="shared" si="27"/>
        <v>9.0999999999999998E-2</v>
      </c>
      <c r="C211">
        <f t="shared" si="28"/>
        <v>18.963000000000001</v>
      </c>
      <c r="D211">
        <v>-0.73</v>
      </c>
      <c r="E211">
        <v>0.03</v>
      </c>
      <c r="F211">
        <v>-0.7</v>
      </c>
      <c r="G211">
        <f t="shared" si="29"/>
        <v>0</v>
      </c>
      <c r="H211">
        <f t="shared" si="30"/>
        <v>1.0000000000000002E-2</v>
      </c>
      <c r="I211">
        <f t="shared" si="31"/>
        <v>1.0000000000000009E-2</v>
      </c>
      <c r="J211">
        <f>IF(ABS(D211-D210) &gt; $P$2, 1/2*(D211+D210)*9.81*B211 + J210, 0)</f>
        <v>0</v>
      </c>
      <c r="K211">
        <f>IF(ABS(E211-E210) &gt; $P$2, 1/2*(E211+E210)*9.81*B211 + K210, 0)</f>
        <v>0</v>
      </c>
      <c r="L211">
        <f>IF(ABS(F211-F210) &gt; $P$2, 1/2*(F211+F210)*9.81*B211 + L210, 0)</f>
        <v>0</v>
      </c>
      <c r="M211">
        <f t="shared" si="32"/>
        <v>0</v>
      </c>
      <c r="N211">
        <f t="shared" si="33"/>
        <v>0</v>
      </c>
      <c r="O211">
        <f t="shared" si="34"/>
        <v>-0.428647287825</v>
      </c>
      <c r="Q211">
        <v>74.8</v>
      </c>
      <c r="R211">
        <v>18.963000000000001</v>
      </c>
      <c r="S211">
        <f t="shared" si="35"/>
        <v>42.709999999999994</v>
      </c>
      <c r="T211">
        <f>SQRT(O211*O211)*100</f>
        <v>42.864728782500002</v>
      </c>
    </row>
    <row r="212" spans="1:20" x14ac:dyDescent="0.3">
      <c r="A212">
        <v>9815257</v>
      </c>
      <c r="B212">
        <f t="shared" si="27"/>
        <v>9.0999999999999998E-2</v>
      </c>
      <c r="C212">
        <f t="shared" si="28"/>
        <v>19.053999999999998</v>
      </c>
      <c r="D212">
        <v>-0.72</v>
      </c>
      <c r="E212">
        <v>0.03</v>
      </c>
      <c r="F212">
        <v>-0.7</v>
      </c>
      <c r="G212">
        <f t="shared" si="29"/>
        <v>1.0000000000000009E-2</v>
      </c>
      <c r="H212">
        <f t="shared" si="30"/>
        <v>0</v>
      </c>
      <c r="I212">
        <f t="shared" si="31"/>
        <v>0</v>
      </c>
      <c r="J212">
        <f>IF(ABS(D212-D211) &gt; $P$2, 1/2*(D212+D211)*9.81*B212 + J211, 0)</f>
        <v>0</v>
      </c>
      <c r="K212">
        <f>IF(ABS(E212-E211) &gt; $P$2, 1/2*(E212+E211)*9.81*B212 + K211, 0)</f>
        <v>0</v>
      </c>
      <c r="L212">
        <f>IF(ABS(F212-F211) &gt; $P$2, 1/2*(F212+F211)*9.81*B212 + L211, 0)</f>
        <v>0</v>
      </c>
      <c r="M212">
        <f t="shared" si="32"/>
        <v>0</v>
      </c>
      <c r="N212">
        <f t="shared" si="33"/>
        <v>0</v>
      </c>
      <c r="O212">
        <f t="shared" si="34"/>
        <v>-0.428647287825</v>
      </c>
      <c r="Q212">
        <v>75</v>
      </c>
      <c r="R212">
        <v>19.053999999999998</v>
      </c>
      <c r="S212">
        <f t="shared" si="35"/>
        <v>42.91</v>
      </c>
      <c r="T212">
        <f>SQRT(O212*O212)*100</f>
        <v>42.864728782500002</v>
      </c>
    </row>
    <row r="213" spans="1:20" x14ac:dyDescent="0.3">
      <c r="A213">
        <v>9815348</v>
      </c>
      <c r="B213">
        <f t="shared" si="27"/>
        <v>9.0999999999999998E-2</v>
      </c>
      <c r="C213">
        <f t="shared" si="28"/>
        <v>19.145</v>
      </c>
      <c r="D213">
        <v>-0.73</v>
      </c>
      <c r="E213">
        <v>0.03</v>
      </c>
      <c r="F213">
        <v>-0.7</v>
      </c>
      <c r="G213">
        <f t="shared" si="29"/>
        <v>1.0000000000000009E-2</v>
      </c>
      <c r="H213">
        <f t="shared" si="30"/>
        <v>0</v>
      </c>
      <c r="I213">
        <f t="shared" si="31"/>
        <v>0</v>
      </c>
      <c r="J213">
        <f>IF(ABS(D213-D212) &gt; $P$2, 1/2*(D213+D212)*9.81*B213 + J212, 0)</f>
        <v>0</v>
      </c>
      <c r="K213">
        <f>IF(ABS(E213-E212) &gt; $P$2, 1/2*(E213+E212)*9.81*B213 + K212, 0)</f>
        <v>0</v>
      </c>
      <c r="L213">
        <f>IF(ABS(F213-F212) &gt; $P$2, 1/2*(F213+F212)*9.81*B213 + L212, 0)</f>
        <v>0</v>
      </c>
      <c r="M213">
        <f t="shared" si="32"/>
        <v>0</v>
      </c>
      <c r="N213">
        <f t="shared" si="33"/>
        <v>0</v>
      </c>
      <c r="O213">
        <f t="shared" si="34"/>
        <v>-0.428647287825</v>
      </c>
      <c r="Q213">
        <v>74.59</v>
      </c>
      <c r="R213">
        <v>19.145</v>
      </c>
      <c r="S213">
        <f t="shared" si="35"/>
        <v>42.5</v>
      </c>
      <c r="T213">
        <f>SQRT(O213*O213)*100</f>
        <v>42.864728782500002</v>
      </c>
    </row>
    <row r="214" spans="1:20" x14ac:dyDescent="0.3">
      <c r="A214">
        <v>9815439</v>
      </c>
      <c r="B214">
        <f t="shared" si="27"/>
        <v>9.0999999999999998E-2</v>
      </c>
      <c r="C214">
        <f t="shared" si="28"/>
        <v>19.236000000000001</v>
      </c>
      <c r="D214">
        <v>-0.73</v>
      </c>
      <c r="E214">
        <v>0.03</v>
      </c>
      <c r="F214">
        <v>-0.69</v>
      </c>
      <c r="G214">
        <f t="shared" si="29"/>
        <v>0</v>
      </c>
      <c r="H214">
        <f t="shared" si="30"/>
        <v>0</v>
      </c>
      <c r="I214">
        <f t="shared" si="31"/>
        <v>1.0000000000000009E-2</v>
      </c>
      <c r="J214">
        <f>IF(ABS(D214-D213) &gt; $P$2, 1/2*(D214+D213)*9.81*B214 + J213, 0)</f>
        <v>0</v>
      </c>
      <c r="K214">
        <f>IF(ABS(E214-E213) &gt; $P$2, 1/2*(E214+E213)*9.81*B214 + K213, 0)</f>
        <v>0</v>
      </c>
      <c r="L214">
        <f>IF(ABS(F214-F213) &gt; $P$2, 1/2*(F214+F213)*9.81*B214 + L213, 0)</f>
        <v>0</v>
      </c>
      <c r="M214">
        <f t="shared" si="32"/>
        <v>0</v>
      </c>
      <c r="N214">
        <f t="shared" si="33"/>
        <v>0</v>
      </c>
      <c r="O214">
        <f t="shared" si="34"/>
        <v>-0.428647287825</v>
      </c>
      <c r="Q214">
        <v>74.8</v>
      </c>
      <c r="R214">
        <v>19.236000000000001</v>
      </c>
      <c r="S214">
        <f t="shared" si="35"/>
        <v>42.709999999999994</v>
      </c>
      <c r="T214">
        <f>SQRT(O214*O214)*100</f>
        <v>42.864728782500002</v>
      </c>
    </row>
    <row r="215" spans="1:20" x14ac:dyDescent="0.3">
      <c r="A215">
        <v>9815529</v>
      </c>
      <c r="B215">
        <f t="shared" si="27"/>
        <v>0.09</v>
      </c>
      <c r="C215">
        <f t="shared" si="28"/>
        <v>19.326000000000001</v>
      </c>
      <c r="D215">
        <v>-0.73</v>
      </c>
      <c r="E215">
        <v>0.03</v>
      </c>
      <c r="F215">
        <v>-0.7</v>
      </c>
      <c r="G215">
        <f t="shared" si="29"/>
        <v>0</v>
      </c>
      <c r="H215">
        <f t="shared" si="30"/>
        <v>0</v>
      </c>
      <c r="I215">
        <f t="shared" si="31"/>
        <v>1.0000000000000009E-2</v>
      </c>
      <c r="J215">
        <f>IF(ABS(D215-D214) &gt; $P$2, 1/2*(D215+D214)*9.81*B215 + J214, 0)</f>
        <v>0</v>
      </c>
      <c r="K215">
        <f>IF(ABS(E215-E214) &gt; $P$2, 1/2*(E215+E214)*9.81*B215 + K214, 0)</f>
        <v>0</v>
      </c>
      <c r="L215">
        <f>IF(ABS(F215-F214) &gt; $P$2, 1/2*(F215+F214)*9.81*B215 + L214, 0)</f>
        <v>0</v>
      </c>
      <c r="M215">
        <f t="shared" si="32"/>
        <v>0</v>
      </c>
      <c r="N215">
        <f t="shared" si="33"/>
        <v>0</v>
      </c>
      <c r="O215">
        <f t="shared" si="34"/>
        <v>-0.428647287825</v>
      </c>
      <c r="Q215">
        <v>75</v>
      </c>
      <c r="R215">
        <v>19.326000000000001</v>
      </c>
      <c r="S215">
        <f t="shared" si="35"/>
        <v>42.91</v>
      </c>
      <c r="T215">
        <f>SQRT(O215*O215)*100</f>
        <v>42.864728782500002</v>
      </c>
    </row>
    <row r="216" spans="1:20" x14ac:dyDescent="0.3">
      <c r="A216">
        <v>9815620</v>
      </c>
      <c r="B216">
        <f t="shared" si="27"/>
        <v>9.0999999999999998E-2</v>
      </c>
      <c r="C216">
        <f t="shared" si="28"/>
        <v>19.417000000000002</v>
      </c>
      <c r="D216">
        <v>-0.73</v>
      </c>
      <c r="E216">
        <v>0.03</v>
      </c>
      <c r="F216">
        <v>-0.7</v>
      </c>
      <c r="G216">
        <f t="shared" si="29"/>
        <v>0</v>
      </c>
      <c r="H216">
        <f t="shared" si="30"/>
        <v>0</v>
      </c>
      <c r="I216">
        <f t="shared" si="31"/>
        <v>0</v>
      </c>
      <c r="J216">
        <f>IF(ABS(D216-D215) &gt; $P$2, 1/2*(D216+D215)*9.81*B216 + J215, 0)</f>
        <v>0</v>
      </c>
      <c r="K216">
        <f>IF(ABS(E216-E215) &gt; $P$2, 1/2*(E216+E215)*9.81*B216 + K215, 0)</f>
        <v>0</v>
      </c>
      <c r="L216">
        <f>IF(ABS(F216-F215) &gt; $P$2, 1/2*(F216+F215)*9.81*B216 + L215, 0)</f>
        <v>0</v>
      </c>
      <c r="M216">
        <f t="shared" si="32"/>
        <v>0</v>
      </c>
      <c r="N216">
        <f t="shared" si="33"/>
        <v>0</v>
      </c>
      <c r="O216">
        <f t="shared" si="34"/>
        <v>-0.428647287825</v>
      </c>
      <c r="Q216">
        <v>74.8</v>
      </c>
      <c r="R216">
        <v>19.417000000000002</v>
      </c>
      <c r="S216">
        <f t="shared" si="35"/>
        <v>42.709999999999994</v>
      </c>
      <c r="T216">
        <f>SQRT(O216*O216)*100</f>
        <v>42.864728782500002</v>
      </c>
    </row>
    <row r="217" spans="1:20" x14ac:dyDescent="0.3">
      <c r="A217">
        <v>9815710</v>
      </c>
      <c r="B217">
        <f t="shared" si="27"/>
        <v>0.09</v>
      </c>
      <c r="C217">
        <f t="shared" si="28"/>
        <v>19.507000000000001</v>
      </c>
      <c r="D217">
        <v>-0.73</v>
      </c>
      <c r="E217">
        <v>0.03</v>
      </c>
      <c r="F217">
        <v>-0.69</v>
      </c>
      <c r="G217">
        <f t="shared" si="29"/>
        <v>0</v>
      </c>
      <c r="H217">
        <f t="shared" si="30"/>
        <v>0</v>
      </c>
      <c r="I217">
        <f t="shared" si="31"/>
        <v>1.0000000000000009E-2</v>
      </c>
      <c r="J217">
        <f>IF(ABS(D217-D216) &gt; $P$2, 1/2*(D217+D216)*9.81*B217 + J216, 0)</f>
        <v>0</v>
      </c>
      <c r="K217">
        <f>IF(ABS(E217-E216) &gt; $P$2, 1/2*(E217+E216)*9.81*B217 + K216, 0)</f>
        <v>0</v>
      </c>
      <c r="L217">
        <f>IF(ABS(F217-F216) &gt; $P$2, 1/2*(F217+F216)*9.81*B217 + L216, 0)</f>
        <v>0</v>
      </c>
      <c r="M217">
        <f t="shared" si="32"/>
        <v>0</v>
      </c>
      <c r="N217">
        <f t="shared" si="33"/>
        <v>0</v>
      </c>
      <c r="O217">
        <f t="shared" si="34"/>
        <v>-0.428647287825</v>
      </c>
      <c r="Q217">
        <v>74.59</v>
      </c>
      <c r="R217">
        <v>19.507000000000001</v>
      </c>
      <c r="S217">
        <f t="shared" si="35"/>
        <v>42.5</v>
      </c>
      <c r="T217">
        <f>SQRT(O217*O217)*100</f>
        <v>42.864728782500002</v>
      </c>
    </row>
    <row r="218" spans="1:20" x14ac:dyDescent="0.3">
      <c r="A218">
        <v>9815801</v>
      </c>
      <c r="B218">
        <f t="shared" si="27"/>
        <v>9.0999999999999998E-2</v>
      </c>
      <c r="C218">
        <f t="shared" si="28"/>
        <v>19.597999999999999</v>
      </c>
      <c r="D218">
        <v>-0.73</v>
      </c>
      <c r="E218">
        <v>0.03</v>
      </c>
      <c r="F218">
        <v>-0.7</v>
      </c>
      <c r="G218">
        <f t="shared" si="29"/>
        <v>0</v>
      </c>
      <c r="H218">
        <f t="shared" si="30"/>
        <v>0</v>
      </c>
      <c r="I218">
        <f t="shared" si="31"/>
        <v>1.0000000000000009E-2</v>
      </c>
      <c r="J218">
        <f>IF(ABS(D218-D217) &gt; $P$2, 1/2*(D218+D217)*9.81*B218 + J217, 0)</f>
        <v>0</v>
      </c>
      <c r="K218">
        <f>IF(ABS(E218-E217) &gt; $P$2, 1/2*(E218+E217)*9.81*B218 + K217, 0)</f>
        <v>0</v>
      </c>
      <c r="L218">
        <f>IF(ABS(F218-F217) &gt; $P$2, 1/2*(F218+F217)*9.81*B218 + L217, 0)</f>
        <v>0</v>
      </c>
      <c r="M218">
        <f t="shared" si="32"/>
        <v>0</v>
      </c>
      <c r="N218">
        <f t="shared" si="33"/>
        <v>0</v>
      </c>
      <c r="O218">
        <f t="shared" si="34"/>
        <v>-0.428647287825</v>
      </c>
      <c r="Q218">
        <v>74.8</v>
      </c>
      <c r="R218">
        <v>19.597999999999999</v>
      </c>
      <c r="S218">
        <f t="shared" si="35"/>
        <v>42.709999999999994</v>
      </c>
      <c r="T218">
        <f>SQRT(O218*O218)*100</f>
        <v>42.864728782500002</v>
      </c>
    </row>
    <row r="219" spans="1:20" x14ac:dyDescent="0.3">
      <c r="A219">
        <v>9815892</v>
      </c>
      <c r="B219">
        <f t="shared" si="27"/>
        <v>9.0999999999999998E-2</v>
      </c>
      <c r="C219">
        <f t="shared" si="28"/>
        <v>19.689</v>
      </c>
      <c r="D219">
        <v>-0.73</v>
      </c>
      <c r="E219">
        <v>0.03</v>
      </c>
      <c r="F219">
        <v>-0.7</v>
      </c>
      <c r="G219">
        <f t="shared" si="29"/>
        <v>0</v>
      </c>
      <c r="H219">
        <f t="shared" si="30"/>
        <v>0</v>
      </c>
      <c r="I219">
        <f t="shared" si="31"/>
        <v>0</v>
      </c>
      <c r="J219">
        <f>IF(ABS(D219-D218) &gt; $P$2, 1/2*(D219+D218)*9.81*B219 + J218, 0)</f>
        <v>0</v>
      </c>
      <c r="K219">
        <f>IF(ABS(E219-E218) &gt; $P$2, 1/2*(E219+E218)*9.81*B219 + K218, 0)</f>
        <v>0</v>
      </c>
      <c r="L219">
        <f>IF(ABS(F219-F218) &gt; $P$2, 1/2*(F219+F218)*9.81*B219 + L218, 0)</f>
        <v>0</v>
      </c>
      <c r="M219">
        <f t="shared" si="32"/>
        <v>0</v>
      </c>
      <c r="N219">
        <f t="shared" si="33"/>
        <v>0</v>
      </c>
      <c r="O219">
        <f t="shared" si="34"/>
        <v>-0.428647287825</v>
      </c>
      <c r="Q219">
        <v>74.8</v>
      </c>
      <c r="R219">
        <v>19.689</v>
      </c>
      <c r="S219">
        <f t="shared" si="35"/>
        <v>42.709999999999994</v>
      </c>
      <c r="T219">
        <f>SQRT(O219*O219)*100</f>
        <v>42.864728782500002</v>
      </c>
    </row>
    <row r="220" spans="1:20" x14ac:dyDescent="0.3">
      <c r="A220">
        <v>9815983</v>
      </c>
      <c r="B220">
        <f t="shared" si="27"/>
        <v>9.0999999999999998E-2</v>
      </c>
      <c r="C220">
        <f t="shared" si="28"/>
        <v>19.78</v>
      </c>
      <c r="D220">
        <v>-0.73</v>
      </c>
      <c r="E220">
        <v>0.03</v>
      </c>
      <c r="F220">
        <v>-0.69</v>
      </c>
      <c r="G220">
        <f t="shared" si="29"/>
        <v>0</v>
      </c>
      <c r="H220">
        <f t="shared" si="30"/>
        <v>0</v>
      </c>
      <c r="I220">
        <f t="shared" si="31"/>
        <v>1.0000000000000009E-2</v>
      </c>
      <c r="J220">
        <f>IF(ABS(D220-D219) &gt; $P$2, 1/2*(D220+D219)*9.81*B220 + J219, 0)</f>
        <v>0</v>
      </c>
      <c r="K220">
        <f>IF(ABS(E220-E219) &gt; $P$2, 1/2*(E220+E219)*9.81*B220 + K219, 0)</f>
        <v>0</v>
      </c>
      <c r="L220">
        <f>IF(ABS(F220-F219) &gt; $P$2, 1/2*(F220+F219)*9.81*B220 + L219, 0)</f>
        <v>0</v>
      </c>
      <c r="M220">
        <f t="shared" si="32"/>
        <v>0</v>
      </c>
      <c r="N220">
        <f t="shared" si="33"/>
        <v>0</v>
      </c>
      <c r="O220">
        <f t="shared" si="34"/>
        <v>-0.428647287825</v>
      </c>
      <c r="Q220">
        <v>75</v>
      </c>
      <c r="R220">
        <v>19.78</v>
      </c>
      <c r="S220">
        <f t="shared" si="35"/>
        <v>42.91</v>
      </c>
      <c r="T220">
        <f>SQRT(O220*O220)*100</f>
        <v>42.864728782500002</v>
      </c>
    </row>
    <row r="221" spans="1:20" x14ac:dyDescent="0.3">
      <c r="A221">
        <v>9816074</v>
      </c>
      <c r="B221">
        <f t="shared" si="27"/>
        <v>9.0999999999999998E-2</v>
      </c>
      <c r="C221">
        <f t="shared" si="28"/>
        <v>19.870999999999999</v>
      </c>
      <c r="D221">
        <v>-0.73</v>
      </c>
      <c r="E221">
        <v>0.03</v>
      </c>
      <c r="F221">
        <v>-0.69</v>
      </c>
      <c r="G221">
        <f t="shared" si="29"/>
        <v>0</v>
      </c>
      <c r="H221">
        <f t="shared" si="30"/>
        <v>0</v>
      </c>
      <c r="I221">
        <f t="shared" si="31"/>
        <v>0</v>
      </c>
      <c r="J221">
        <f>IF(ABS(D221-D220) &gt; $P$2, 1/2*(D221+D220)*9.81*B221 + J220, 0)</f>
        <v>0</v>
      </c>
      <c r="K221">
        <f>IF(ABS(E221-E220) &gt; $P$2, 1/2*(E221+E220)*9.81*B221 + K220, 0)</f>
        <v>0</v>
      </c>
      <c r="L221">
        <f>IF(ABS(F221-F220) &gt; $P$2, 1/2*(F221+F220)*9.81*B221 + L220, 0)</f>
        <v>0</v>
      </c>
      <c r="M221">
        <f t="shared" si="32"/>
        <v>0</v>
      </c>
      <c r="N221">
        <f t="shared" si="33"/>
        <v>0</v>
      </c>
      <c r="O221">
        <f t="shared" si="34"/>
        <v>-0.428647287825</v>
      </c>
      <c r="Q221">
        <v>74.8</v>
      </c>
      <c r="R221">
        <v>19.870999999999999</v>
      </c>
      <c r="S221">
        <f t="shared" si="35"/>
        <v>42.709999999999994</v>
      </c>
      <c r="T221">
        <f>SQRT(O221*O221)*100</f>
        <v>42.864728782500002</v>
      </c>
    </row>
    <row r="222" spans="1:20" x14ac:dyDescent="0.3">
      <c r="A222">
        <v>9816164</v>
      </c>
      <c r="B222">
        <f t="shared" si="27"/>
        <v>0.09</v>
      </c>
      <c r="C222">
        <f t="shared" si="28"/>
        <v>19.960999999999999</v>
      </c>
      <c r="D222">
        <v>-0.73</v>
      </c>
      <c r="E222">
        <v>0.02</v>
      </c>
      <c r="F222">
        <v>-0.69</v>
      </c>
      <c r="G222">
        <f t="shared" si="29"/>
        <v>0</v>
      </c>
      <c r="H222">
        <f t="shared" si="30"/>
        <v>9.9999999999999985E-3</v>
      </c>
      <c r="I222">
        <f t="shared" si="31"/>
        <v>0</v>
      </c>
      <c r="J222">
        <f>IF(ABS(D222-D221) &gt; $P$2, 1/2*(D222+D221)*9.81*B222 + J221, 0)</f>
        <v>0</v>
      </c>
      <c r="K222">
        <f>IF(ABS(E222-E221) &gt; $P$2, 1/2*(E222+E221)*9.81*B222 + K221, 0)</f>
        <v>0</v>
      </c>
      <c r="L222">
        <f>IF(ABS(F222-F221) &gt; $P$2, 1/2*(F222+F221)*9.81*B222 + L221, 0)</f>
        <v>0</v>
      </c>
      <c r="M222">
        <f t="shared" si="32"/>
        <v>0</v>
      </c>
      <c r="N222">
        <f t="shared" si="33"/>
        <v>0</v>
      </c>
      <c r="O222">
        <f t="shared" si="34"/>
        <v>-0.428647287825</v>
      </c>
      <c r="Q222">
        <v>74.8</v>
      </c>
      <c r="R222">
        <v>19.960999999999999</v>
      </c>
      <c r="S222">
        <f t="shared" si="35"/>
        <v>42.709999999999994</v>
      </c>
      <c r="T222">
        <f>SQRT(O222*O222)*100</f>
        <v>42.864728782500002</v>
      </c>
    </row>
    <row r="223" spans="1:20" x14ac:dyDescent="0.3">
      <c r="A223">
        <v>9816255</v>
      </c>
      <c r="B223">
        <f t="shared" si="27"/>
        <v>9.0999999999999998E-2</v>
      </c>
      <c r="C223">
        <f t="shared" si="28"/>
        <v>20.052</v>
      </c>
      <c r="D223">
        <v>-0.73</v>
      </c>
      <c r="E223">
        <v>0.03</v>
      </c>
      <c r="F223">
        <v>-0.69</v>
      </c>
      <c r="G223">
        <f t="shared" si="29"/>
        <v>0</v>
      </c>
      <c r="H223">
        <f t="shared" si="30"/>
        <v>9.9999999999999985E-3</v>
      </c>
      <c r="I223">
        <f t="shared" si="31"/>
        <v>0</v>
      </c>
      <c r="J223">
        <f>IF(ABS(D223-D222) &gt; $P$2, 1/2*(D223+D222)*9.81*B223 + J222, 0)</f>
        <v>0</v>
      </c>
      <c r="K223">
        <f>IF(ABS(E223-E222) &gt; $P$2, 1/2*(E223+E222)*9.81*B223 + K222, 0)</f>
        <v>0</v>
      </c>
      <c r="L223">
        <f>IF(ABS(F223-F222) &gt; $P$2, 1/2*(F223+F222)*9.81*B223 + L222, 0)</f>
        <v>0</v>
      </c>
      <c r="M223">
        <f t="shared" si="32"/>
        <v>0</v>
      </c>
      <c r="N223">
        <f t="shared" si="33"/>
        <v>0</v>
      </c>
      <c r="O223">
        <f t="shared" si="34"/>
        <v>-0.428647287825</v>
      </c>
      <c r="Q223">
        <v>74.8</v>
      </c>
      <c r="R223">
        <v>20.052</v>
      </c>
      <c r="S223">
        <f t="shared" si="35"/>
        <v>42.709999999999994</v>
      </c>
      <c r="T223">
        <f>SQRT(O223*O223)*100</f>
        <v>42.864728782500002</v>
      </c>
    </row>
    <row r="224" spans="1:20" x14ac:dyDescent="0.3">
      <c r="A224">
        <v>9816346</v>
      </c>
      <c r="B224">
        <f t="shared" si="27"/>
        <v>9.0999999999999998E-2</v>
      </c>
      <c r="C224">
        <f t="shared" si="28"/>
        <v>20.143000000000001</v>
      </c>
      <c r="D224">
        <v>-0.73</v>
      </c>
      <c r="E224">
        <v>0.04</v>
      </c>
      <c r="F224">
        <v>-0.7</v>
      </c>
      <c r="G224">
        <f t="shared" si="29"/>
        <v>0</v>
      </c>
      <c r="H224">
        <f t="shared" si="30"/>
        <v>1.0000000000000002E-2</v>
      </c>
      <c r="I224">
        <f t="shared" si="31"/>
        <v>1.0000000000000009E-2</v>
      </c>
      <c r="J224">
        <f>IF(ABS(D224-D223) &gt; $P$2, 1/2*(D224+D223)*9.81*B224 + J223, 0)</f>
        <v>0</v>
      </c>
      <c r="K224">
        <f>IF(ABS(E224-E223) &gt; $P$2, 1/2*(E224+E223)*9.81*B224 + K223, 0)</f>
        <v>0</v>
      </c>
      <c r="L224">
        <f>IF(ABS(F224-F223) &gt; $P$2, 1/2*(F224+F223)*9.81*B224 + L223, 0)</f>
        <v>0</v>
      </c>
      <c r="M224">
        <f t="shared" si="32"/>
        <v>0</v>
      </c>
      <c r="N224">
        <f t="shared" si="33"/>
        <v>0</v>
      </c>
      <c r="O224">
        <f t="shared" si="34"/>
        <v>-0.428647287825</v>
      </c>
      <c r="Q224">
        <v>75.63</v>
      </c>
      <c r="R224">
        <v>20.143000000000001</v>
      </c>
      <c r="S224">
        <f t="shared" si="35"/>
        <v>43.539999999999992</v>
      </c>
      <c r="T224">
        <f>SQRT(O224*O224)*100</f>
        <v>42.864728782500002</v>
      </c>
    </row>
    <row r="225" spans="1:20" x14ac:dyDescent="0.3">
      <c r="A225">
        <v>9816436</v>
      </c>
      <c r="B225">
        <f t="shared" si="27"/>
        <v>0.09</v>
      </c>
      <c r="C225">
        <f t="shared" si="28"/>
        <v>20.233000000000001</v>
      </c>
      <c r="D225">
        <v>-0.73</v>
      </c>
      <c r="E225">
        <v>0.03</v>
      </c>
      <c r="F225">
        <v>-0.69</v>
      </c>
      <c r="G225">
        <f t="shared" si="29"/>
        <v>0</v>
      </c>
      <c r="H225">
        <f t="shared" si="30"/>
        <v>1.0000000000000002E-2</v>
      </c>
      <c r="I225">
        <f t="shared" si="31"/>
        <v>1.0000000000000009E-2</v>
      </c>
      <c r="J225">
        <f>IF(ABS(D225-D224) &gt; $P$2, 1/2*(D225+D224)*9.81*B225 + J224, 0)</f>
        <v>0</v>
      </c>
      <c r="K225">
        <f>IF(ABS(E225-E224) &gt; $P$2, 1/2*(E225+E224)*9.81*B225 + K224, 0)</f>
        <v>0</v>
      </c>
      <c r="L225">
        <f>IF(ABS(F225-F224) &gt; $P$2, 1/2*(F225+F224)*9.81*B225 + L224, 0)</f>
        <v>0</v>
      </c>
      <c r="M225">
        <f t="shared" si="32"/>
        <v>0</v>
      </c>
      <c r="N225">
        <f t="shared" si="33"/>
        <v>0</v>
      </c>
      <c r="O225">
        <f t="shared" si="34"/>
        <v>-0.428647287825</v>
      </c>
      <c r="Q225">
        <v>74.8</v>
      </c>
      <c r="R225">
        <v>20.233000000000001</v>
      </c>
      <c r="S225">
        <f t="shared" si="35"/>
        <v>42.709999999999994</v>
      </c>
      <c r="T225">
        <f>SQRT(O225*O225)*100</f>
        <v>42.864728782500002</v>
      </c>
    </row>
    <row r="226" spans="1:20" x14ac:dyDescent="0.3">
      <c r="A226">
        <v>9816527</v>
      </c>
      <c r="B226">
        <f t="shared" si="27"/>
        <v>9.0999999999999998E-2</v>
      </c>
      <c r="C226">
        <f t="shared" si="28"/>
        <v>20.324000000000002</v>
      </c>
      <c r="D226">
        <v>-0.73</v>
      </c>
      <c r="E226">
        <v>0.03</v>
      </c>
      <c r="F226">
        <v>-0.7</v>
      </c>
      <c r="G226">
        <f t="shared" si="29"/>
        <v>0</v>
      </c>
      <c r="H226">
        <f t="shared" si="30"/>
        <v>0</v>
      </c>
      <c r="I226">
        <f t="shared" si="31"/>
        <v>1.0000000000000009E-2</v>
      </c>
      <c r="J226">
        <f>IF(ABS(D226-D225) &gt; $P$2, 1/2*(D226+D225)*9.81*B226 + J225, 0)</f>
        <v>0</v>
      </c>
      <c r="K226">
        <f>IF(ABS(E226-E225) &gt; $P$2, 1/2*(E226+E225)*9.81*B226 + K225, 0)</f>
        <v>0</v>
      </c>
      <c r="L226">
        <f>IF(ABS(F226-F225) &gt; $P$2, 1/2*(F226+F225)*9.81*B226 + L225, 0)</f>
        <v>0</v>
      </c>
      <c r="M226">
        <f t="shared" si="32"/>
        <v>0</v>
      </c>
      <c r="N226">
        <f t="shared" si="33"/>
        <v>0</v>
      </c>
      <c r="O226">
        <f t="shared" si="34"/>
        <v>-0.428647287825</v>
      </c>
      <c r="Q226">
        <v>75.63</v>
      </c>
      <c r="R226">
        <v>20.324000000000002</v>
      </c>
      <c r="S226">
        <f t="shared" si="35"/>
        <v>43.539999999999992</v>
      </c>
      <c r="T226">
        <f>SQRT(O226*O226)*100</f>
        <v>42.864728782500002</v>
      </c>
    </row>
    <row r="227" spans="1:20" x14ac:dyDescent="0.3">
      <c r="A227">
        <v>9816619</v>
      </c>
      <c r="B227">
        <f t="shared" si="27"/>
        <v>9.1999999999999998E-2</v>
      </c>
      <c r="C227">
        <f t="shared" si="28"/>
        <v>20.416</v>
      </c>
      <c r="D227">
        <v>-0.73</v>
      </c>
      <c r="E227">
        <v>0.04</v>
      </c>
      <c r="F227">
        <v>-0.7</v>
      </c>
      <c r="G227">
        <f t="shared" si="29"/>
        <v>0</v>
      </c>
      <c r="H227">
        <f t="shared" si="30"/>
        <v>1.0000000000000002E-2</v>
      </c>
      <c r="I227">
        <f t="shared" si="31"/>
        <v>0</v>
      </c>
      <c r="J227">
        <f>IF(ABS(D227-D226) &gt; $P$2, 1/2*(D227+D226)*9.81*B227 + J226, 0)</f>
        <v>0</v>
      </c>
      <c r="K227">
        <f>IF(ABS(E227-E226) &gt; $P$2, 1/2*(E227+E226)*9.81*B227 + K226, 0)</f>
        <v>0</v>
      </c>
      <c r="L227">
        <f>IF(ABS(F227-F226) &gt; $P$2, 1/2*(F227+F226)*9.81*B227 + L226, 0)</f>
        <v>0</v>
      </c>
      <c r="M227">
        <f t="shared" si="32"/>
        <v>0</v>
      </c>
      <c r="N227">
        <f t="shared" si="33"/>
        <v>0</v>
      </c>
      <c r="O227">
        <f t="shared" si="34"/>
        <v>-0.428647287825</v>
      </c>
      <c r="Q227">
        <v>74.59</v>
      </c>
      <c r="R227">
        <v>20.416</v>
      </c>
      <c r="S227">
        <f t="shared" si="35"/>
        <v>42.5</v>
      </c>
      <c r="T227">
        <f>SQRT(O227*O227)*100</f>
        <v>42.864728782500002</v>
      </c>
    </row>
    <row r="228" spans="1:20" x14ac:dyDescent="0.3">
      <c r="A228">
        <v>9816709</v>
      </c>
      <c r="B228">
        <f t="shared" si="27"/>
        <v>0.09</v>
      </c>
      <c r="C228">
        <f t="shared" si="28"/>
        <v>20.506</v>
      </c>
      <c r="D228">
        <v>-0.73</v>
      </c>
      <c r="E228">
        <v>0.03</v>
      </c>
      <c r="F228">
        <v>-0.7</v>
      </c>
      <c r="G228">
        <f t="shared" si="29"/>
        <v>0</v>
      </c>
      <c r="H228">
        <f t="shared" si="30"/>
        <v>1.0000000000000002E-2</v>
      </c>
      <c r="I228">
        <f t="shared" si="31"/>
        <v>0</v>
      </c>
      <c r="J228">
        <f>IF(ABS(D228-D227) &gt; $P$2, 1/2*(D228+D227)*9.81*B228 + J227, 0)</f>
        <v>0</v>
      </c>
      <c r="K228">
        <f>IF(ABS(E228-E227) &gt; $P$2, 1/2*(E228+E227)*9.81*B228 + K227, 0)</f>
        <v>0</v>
      </c>
      <c r="L228">
        <f>IF(ABS(F228-F227) &gt; $P$2, 1/2*(F228+F227)*9.81*B228 + L227, 0)</f>
        <v>0</v>
      </c>
      <c r="M228">
        <f t="shared" si="32"/>
        <v>0</v>
      </c>
      <c r="N228">
        <f t="shared" si="33"/>
        <v>0</v>
      </c>
      <c r="O228">
        <f t="shared" si="34"/>
        <v>-0.428647287825</v>
      </c>
      <c r="Q228">
        <v>74.59</v>
      </c>
      <c r="R228">
        <v>20.506</v>
      </c>
      <c r="S228">
        <f t="shared" si="35"/>
        <v>42.5</v>
      </c>
      <c r="T228">
        <f>SQRT(O228*O228)*100</f>
        <v>42.864728782500002</v>
      </c>
    </row>
    <row r="229" spans="1:20" x14ac:dyDescent="0.3">
      <c r="A229">
        <v>9816800</v>
      </c>
      <c r="B229">
        <f t="shared" si="27"/>
        <v>9.0999999999999998E-2</v>
      </c>
      <c r="C229">
        <f t="shared" si="28"/>
        <v>20.597000000000001</v>
      </c>
      <c r="D229">
        <v>-0.73</v>
      </c>
      <c r="E229">
        <v>0.03</v>
      </c>
      <c r="F229">
        <v>-0.7</v>
      </c>
      <c r="G229">
        <f t="shared" si="29"/>
        <v>0</v>
      </c>
      <c r="H229">
        <f t="shared" si="30"/>
        <v>0</v>
      </c>
      <c r="I229">
        <f t="shared" si="31"/>
        <v>0</v>
      </c>
      <c r="J229">
        <f>IF(ABS(D229-D228) &gt; $P$2, 1/2*(D229+D228)*9.81*B229 + J228, 0)</f>
        <v>0</v>
      </c>
      <c r="K229">
        <f>IF(ABS(E229-E228) &gt; $P$2, 1/2*(E229+E228)*9.81*B229 + K228, 0)</f>
        <v>0</v>
      </c>
      <c r="L229">
        <f>IF(ABS(F229-F228) &gt; $P$2, 1/2*(F229+F228)*9.81*B229 + L228, 0)</f>
        <v>0</v>
      </c>
      <c r="M229">
        <f t="shared" si="32"/>
        <v>0</v>
      </c>
      <c r="N229">
        <f t="shared" si="33"/>
        <v>0</v>
      </c>
      <c r="O229">
        <f t="shared" si="34"/>
        <v>-0.428647287825</v>
      </c>
      <c r="Q229">
        <v>74.8</v>
      </c>
      <c r="R229">
        <v>20.597000000000001</v>
      </c>
      <c r="S229">
        <f t="shared" si="35"/>
        <v>42.709999999999994</v>
      </c>
      <c r="T229">
        <f>SQRT(O229*O229)*100</f>
        <v>42.864728782500002</v>
      </c>
    </row>
    <row r="230" spans="1:20" x14ac:dyDescent="0.3">
      <c r="A230">
        <v>9816890</v>
      </c>
      <c r="B230">
        <f t="shared" si="27"/>
        <v>0.09</v>
      </c>
      <c r="C230">
        <f t="shared" si="28"/>
        <v>20.687000000000001</v>
      </c>
      <c r="D230">
        <v>-0.73</v>
      </c>
      <c r="E230">
        <v>0.04</v>
      </c>
      <c r="F230">
        <v>-0.69</v>
      </c>
      <c r="G230">
        <f t="shared" si="29"/>
        <v>0</v>
      </c>
      <c r="H230">
        <f t="shared" si="30"/>
        <v>1.0000000000000002E-2</v>
      </c>
      <c r="I230">
        <f t="shared" si="31"/>
        <v>1.0000000000000009E-2</v>
      </c>
      <c r="J230">
        <f>IF(ABS(D230-D229) &gt; $P$2, 1/2*(D230+D229)*9.81*B230 + J229, 0)</f>
        <v>0</v>
      </c>
      <c r="K230">
        <f>IF(ABS(E230-E229) &gt; $P$2, 1/2*(E230+E229)*9.81*B230 + K229, 0)</f>
        <v>0</v>
      </c>
      <c r="L230">
        <f>IF(ABS(F230-F229) &gt; $P$2, 1/2*(F230+F229)*9.81*B230 + L229, 0)</f>
        <v>0</v>
      </c>
      <c r="M230">
        <f t="shared" si="32"/>
        <v>0</v>
      </c>
      <c r="N230">
        <f t="shared" si="33"/>
        <v>0</v>
      </c>
      <c r="O230">
        <f t="shared" si="34"/>
        <v>-0.428647287825</v>
      </c>
      <c r="Q230">
        <v>74.8</v>
      </c>
      <c r="R230">
        <v>20.687000000000001</v>
      </c>
      <c r="S230">
        <f t="shared" si="35"/>
        <v>42.709999999999994</v>
      </c>
      <c r="T230">
        <f>SQRT(O230*O230)*100</f>
        <v>42.864728782500002</v>
      </c>
    </row>
    <row r="231" spans="1:20" x14ac:dyDescent="0.3">
      <c r="A231">
        <v>9816981</v>
      </c>
      <c r="B231">
        <f t="shared" si="27"/>
        <v>9.0999999999999998E-2</v>
      </c>
      <c r="C231">
        <f t="shared" si="28"/>
        <v>20.777999999999999</v>
      </c>
      <c r="D231">
        <v>-0.73</v>
      </c>
      <c r="E231">
        <v>0.03</v>
      </c>
      <c r="F231">
        <v>-0.7</v>
      </c>
      <c r="G231">
        <f t="shared" si="29"/>
        <v>0</v>
      </c>
      <c r="H231">
        <f t="shared" si="30"/>
        <v>1.0000000000000002E-2</v>
      </c>
      <c r="I231">
        <f t="shared" si="31"/>
        <v>1.0000000000000009E-2</v>
      </c>
      <c r="J231">
        <f>IF(ABS(D231-D230) &gt; $P$2, 1/2*(D231+D230)*9.81*B231 + J230, 0)</f>
        <v>0</v>
      </c>
      <c r="K231">
        <f>IF(ABS(E231-E230) &gt; $P$2, 1/2*(E231+E230)*9.81*B231 + K230, 0)</f>
        <v>0</v>
      </c>
      <c r="L231">
        <f>IF(ABS(F231-F230) &gt; $P$2, 1/2*(F231+F230)*9.81*B231 + L230, 0)</f>
        <v>0</v>
      </c>
      <c r="M231">
        <f t="shared" si="32"/>
        <v>0</v>
      </c>
      <c r="N231">
        <f t="shared" si="33"/>
        <v>0</v>
      </c>
      <c r="O231">
        <f t="shared" si="34"/>
        <v>-0.428647287825</v>
      </c>
      <c r="Q231">
        <v>74.8</v>
      </c>
      <c r="R231">
        <v>20.777999999999999</v>
      </c>
      <c r="S231">
        <f t="shared" si="35"/>
        <v>42.709999999999994</v>
      </c>
      <c r="T231">
        <f>SQRT(O231*O231)*100</f>
        <v>42.864728782500002</v>
      </c>
    </row>
    <row r="232" spans="1:20" x14ac:dyDescent="0.3">
      <c r="A232">
        <v>9817072</v>
      </c>
      <c r="B232">
        <f t="shared" si="27"/>
        <v>9.0999999999999998E-2</v>
      </c>
      <c r="C232">
        <f t="shared" si="28"/>
        <v>20.869</v>
      </c>
      <c r="D232">
        <v>-0.73</v>
      </c>
      <c r="E232">
        <v>0.03</v>
      </c>
      <c r="F232">
        <v>-0.7</v>
      </c>
      <c r="G232">
        <f t="shared" si="29"/>
        <v>0</v>
      </c>
      <c r="H232">
        <f t="shared" si="30"/>
        <v>0</v>
      </c>
      <c r="I232">
        <f t="shared" si="31"/>
        <v>0</v>
      </c>
      <c r="J232">
        <f>IF(ABS(D232-D231) &gt; $P$2, 1/2*(D232+D231)*9.81*B232 + J231, 0)</f>
        <v>0</v>
      </c>
      <c r="K232">
        <f>IF(ABS(E232-E231) &gt; $P$2, 1/2*(E232+E231)*9.81*B232 + K231, 0)</f>
        <v>0</v>
      </c>
      <c r="L232">
        <f>IF(ABS(F232-F231) &gt; $P$2, 1/2*(F232+F231)*9.81*B232 + L231, 0)</f>
        <v>0</v>
      </c>
      <c r="M232">
        <f t="shared" si="32"/>
        <v>0</v>
      </c>
      <c r="N232">
        <f t="shared" si="33"/>
        <v>0</v>
      </c>
      <c r="O232">
        <f t="shared" si="34"/>
        <v>-0.428647287825</v>
      </c>
      <c r="Q232">
        <v>74.59</v>
      </c>
      <c r="R232">
        <v>20.869</v>
      </c>
      <c r="S232">
        <f t="shared" si="35"/>
        <v>42.5</v>
      </c>
      <c r="T232">
        <f>SQRT(O232*O232)*100</f>
        <v>42.864728782500002</v>
      </c>
    </row>
    <row r="233" spans="1:20" x14ac:dyDescent="0.3">
      <c r="A233">
        <v>9817162</v>
      </c>
      <c r="B233">
        <f t="shared" si="27"/>
        <v>0.09</v>
      </c>
      <c r="C233">
        <f t="shared" si="28"/>
        <v>20.959</v>
      </c>
      <c r="D233">
        <v>-0.72</v>
      </c>
      <c r="E233">
        <v>0.03</v>
      </c>
      <c r="F233">
        <v>-0.7</v>
      </c>
      <c r="G233">
        <f t="shared" si="29"/>
        <v>1.0000000000000009E-2</v>
      </c>
      <c r="H233">
        <f t="shared" si="30"/>
        <v>0</v>
      </c>
      <c r="I233">
        <f t="shared" si="31"/>
        <v>0</v>
      </c>
      <c r="J233">
        <f>IF(ABS(D233-D232) &gt; $P$2, 1/2*(D233+D232)*9.81*B233 + J232, 0)</f>
        <v>0</v>
      </c>
      <c r="K233">
        <f>IF(ABS(E233-E232) &gt; $P$2, 1/2*(E233+E232)*9.81*B233 + K232, 0)</f>
        <v>0</v>
      </c>
      <c r="L233">
        <f>IF(ABS(F233-F232) &gt; $P$2, 1/2*(F233+F232)*9.81*B233 + L232, 0)</f>
        <v>0</v>
      </c>
      <c r="M233">
        <f t="shared" si="32"/>
        <v>0</v>
      </c>
      <c r="N233">
        <f t="shared" si="33"/>
        <v>0</v>
      </c>
      <c r="O233">
        <f t="shared" si="34"/>
        <v>-0.428647287825</v>
      </c>
      <c r="Q233">
        <v>74.59</v>
      </c>
      <c r="R233">
        <v>20.959</v>
      </c>
      <c r="S233">
        <f t="shared" si="35"/>
        <v>42.5</v>
      </c>
      <c r="T233">
        <f>SQRT(O233*O233)*100</f>
        <v>42.864728782500002</v>
      </c>
    </row>
    <row r="234" spans="1:20" x14ac:dyDescent="0.3">
      <c r="A234">
        <v>9817253</v>
      </c>
      <c r="B234">
        <f t="shared" si="27"/>
        <v>9.0999999999999998E-2</v>
      </c>
      <c r="C234">
        <f t="shared" si="28"/>
        <v>21.05</v>
      </c>
      <c r="D234">
        <v>-0.72</v>
      </c>
      <c r="E234">
        <v>0.04</v>
      </c>
      <c r="F234">
        <v>-0.69</v>
      </c>
      <c r="G234">
        <f t="shared" si="29"/>
        <v>0</v>
      </c>
      <c r="H234">
        <f t="shared" si="30"/>
        <v>1.0000000000000002E-2</v>
      </c>
      <c r="I234">
        <f t="shared" si="31"/>
        <v>1.0000000000000009E-2</v>
      </c>
      <c r="J234">
        <f>IF(ABS(D234-D233) &gt; $P$2, 1/2*(D234+D233)*9.81*B234 + J233, 0)</f>
        <v>0</v>
      </c>
      <c r="K234">
        <f>IF(ABS(E234-E233) &gt; $P$2, 1/2*(E234+E233)*9.81*B234 + K233, 0)</f>
        <v>0</v>
      </c>
      <c r="L234">
        <f>IF(ABS(F234-F233) &gt; $P$2, 1/2*(F234+F233)*9.81*B234 + L233, 0)</f>
        <v>0</v>
      </c>
      <c r="M234">
        <f t="shared" si="32"/>
        <v>0</v>
      </c>
      <c r="N234">
        <f t="shared" si="33"/>
        <v>0</v>
      </c>
      <c r="O234">
        <f t="shared" si="34"/>
        <v>-0.428647287825</v>
      </c>
      <c r="Q234">
        <v>74.59</v>
      </c>
      <c r="R234">
        <v>21.05</v>
      </c>
      <c r="S234">
        <f t="shared" si="35"/>
        <v>42.5</v>
      </c>
      <c r="T234">
        <f>SQRT(O234*O234)*100</f>
        <v>42.864728782500002</v>
      </c>
    </row>
    <row r="235" spans="1:20" x14ac:dyDescent="0.3">
      <c r="A235">
        <v>9817344</v>
      </c>
      <c r="B235">
        <f t="shared" si="27"/>
        <v>9.0999999999999998E-2</v>
      </c>
      <c r="C235">
        <f t="shared" si="28"/>
        <v>21.140999999999998</v>
      </c>
      <c r="D235">
        <v>-0.73</v>
      </c>
      <c r="E235">
        <v>0.04</v>
      </c>
      <c r="F235">
        <v>-0.7</v>
      </c>
      <c r="G235">
        <f t="shared" si="29"/>
        <v>1.0000000000000009E-2</v>
      </c>
      <c r="H235">
        <f t="shared" si="30"/>
        <v>0</v>
      </c>
      <c r="I235">
        <f t="shared" si="31"/>
        <v>1.0000000000000009E-2</v>
      </c>
      <c r="J235">
        <f>IF(ABS(D235-D234) &gt; $P$2, 1/2*(D235+D234)*9.81*B235 + J234, 0)</f>
        <v>0</v>
      </c>
      <c r="K235">
        <f>IF(ABS(E235-E234) &gt; $P$2, 1/2*(E235+E234)*9.81*B235 + K234, 0)</f>
        <v>0</v>
      </c>
      <c r="L235">
        <f>IF(ABS(F235-F234) &gt; $P$2, 1/2*(F235+F234)*9.81*B235 + L234, 0)</f>
        <v>0</v>
      </c>
      <c r="M235">
        <f t="shared" si="32"/>
        <v>0</v>
      </c>
      <c r="N235">
        <f t="shared" si="33"/>
        <v>0</v>
      </c>
      <c r="O235">
        <f t="shared" si="34"/>
        <v>-0.428647287825</v>
      </c>
      <c r="Q235">
        <v>74.59</v>
      </c>
      <c r="R235">
        <v>21.140999999999998</v>
      </c>
      <c r="S235">
        <f t="shared" si="35"/>
        <v>42.5</v>
      </c>
      <c r="T235">
        <f>SQRT(O235*O235)*100</f>
        <v>42.864728782500002</v>
      </c>
    </row>
    <row r="236" spans="1:20" x14ac:dyDescent="0.3">
      <c r="A236">
        <v>9817435</v>
      </c>
      <c r="B236">
        <f t="shared" si="27"/>
        <v>9.0999999999999998E-2</v>
      </c>
      <c r="C236">
        <f t="shared" si="28"/>
        <v>21.231999999999999</v>
      </c>
      <c r="D236">
        <v>-0.73</v>
      </c>
      <c r="E236">
        <v>0.03</v>
      </c>
      <c r="F236">
        <v>-0.7</v>
      </c>
      <c r="G236">
        <f t="shared" si="29"/>
        <v>0</v>
      </c>
      <c r="H236">
        <f t="shared" si="30"/>
        <v>1.0000000000000002E-2</v>
      </c>
      <c r="I236">
        <f t="shared" si="31"/>
        <v>0</v>
      </c>
      <c r="J236">
        <f>IF(ABS(D236-D235) &gt; $P$2, 1/2*(D236+D235)*9.81*B236 + J235, 0)</f>
        <v>0</v>
      </c>
      <c r="K236">
        <f>IF(ABS(E236-E235) &gt; $P$2, 1/2*(E236+E235)*9.81*B236 + K235, 0)</f>
        <v>0</v>
      </c>
      <c r="L236">
        <f>IF(ABS(F236-F235) &gt; $P$2, 1/2*(F236+F235)*9.81*B236 + L235, 0)</f>
        <v>0</v>
      </c>
      <c r="M236">
        <f t="shared" si="32"/>
        <v>0</v>
      </c>
      <c r="N236">
        <f t="shared" si="33"/>
        <v>0</v>
      </c>
      <c r="O236">
        <f t="shared" si="34"/>
        <v>-0.428647287825</v>
      </c>
      <c r="Q236">
        <v>75.63</v>
      </c>
      <c r="R236">
        <v>21.231999999999999</v>
      </c>
      <c r="S236">
        <f t="shared" si="35"/>
        <v>43.539999999999992</v>
      </c>
      <c r="T236">
        <f>SQRT(O236*O236)*100</f>
        <v>42.864728782500002</v>
      </c>
    </row>
    <row r="237" spans="1:20" x14ac:dyDescent="0.3">
      <c r="A237">
        <v>9817526</v>
      </c>
      <c r="B237">
        <f t="shared" si="27"/>
        <v>9.0999999999999998E-2</v>
      </c>
      <c r="C237">
        <f t="shared" si="28"/>
        <v>21.323</v>
      </c>
      <c r="D237">
        <v>-0.73</v>
      </c>
      <c r="E237">
        <v>0.03</v>
      </c>
      <c r="F237">
        <v>-0.69</v>
      </c>
      <c r="G237">
        <f t="shared" si="29"/>
        <v>0</v>
      </c>
      <c r="H237">
        <f t="shared" si="30"/>
        <v>0</v>
      </c>
      <c r="I237">
        <f t="shared" si="31"/>
        <v>1.0000000000000009E-2</v>
      </c>
      <c r="J237">
        <f>IF(ABS(D237-D236) &gt; $P$2, 1/2*(D237+D236)*9.81*B237 + J236, 0)</f>
        <v>0</v>
      </c>
      <c r="K237">
        <f>IF(ABS(E237-E236) &gt; $P$2, 1/2*(E237+E236)*9.81*B237 + K236, 0)</f>
        <v>0</v>
      </c>
      <c r="L237">
        <f>IF(ABS(F237-F236) &gt; $P$2, 1/2*(F237+F236)*9.81*B237 + L236, 0)</f>
        <v>0</v>
      </c>
      <c r="M237">
        <f t="shared" si="32"/>
        <v>0</v>
      </c>
      <c r="N237">
        <f t="shared" si="33"/>
        <v>0</v>
      </c>
      <c r="O237">
        <f t="shared" si="34"/>
        <v>-0.428647287825</v>
      </c>
      <c r="Q237">
        <v>74.8</v>
      </c>
      <c r="R237">
        <v>21.323</v>
      </c>
      <c r="S237">
        <f t="shared" si="35"/>
        <v>42.709999999999994</v>
      </c>
      <c r="T237">
        <f>SQRT(O237*O237)*100</f>
        <v>42.864728782500002</v>
      </c>
    </row>
    <row r="238" spans="1:20" x14ac:dyDescent="0.3">
      <c r="A238">
        <v>9817616</v>
      </c>
      <c r="B238">
        <f t="shared" si="27"/>
        <v>0.09</v>
      </c>
      <c r="C238">
        <f t="shared" si="28"/>
        <v>21.413</v>
      </c>
      <c r="D238">
        <v>-0.73</v>
      </c>
      <c r="E238">
        <v>0.03</v>
      </c>
      <c r="F238">
        <v>-0.7</v>
      </c>
      <c r="G238">
        <f t="shared" si="29"/>
        <v>0</v>
      </c>
      <c r="H238">
        <f t="shared" si="30"/>
        <v>0</v>
      </c>
      <c r="I238">
        <f t="shared" si="31"/>
        <v>1.0000000000000009E-2</v>
      </c>
      <c r="J238">
        <f>IF(ABS(D238-D237) &gt; $P$2, 1/2*(D238+D237)*9.81*B238 + J237, 0)</f>
        <v>0</v>
      </c>
      <c r="K238">
        <f>IF(ABS(E238-E237) &gt; $P$2, 1/2*(E238+E237)*9.81*B238 + K237, 0)</f>
        <v>0</v>
      </c>
      <c r="L238">
        <f>IF(ABS(F238-F237) &gt; $P$2, 1/2*(F238+F237)*9.81*B238 + L237, 0)</f>
        <v>0</v>
      </c>
      <c r="M238">
        <f t="shared" si="32"/>
        <v>0</v>
      </c>
      <c r="N238">
        <f t="shared" si="33"/>
        <v>0</v>
      </c>
      <c r="O238">
        <f t="shared" si="34"/>
        <v>-0.428647287825</v>
      </c>
      <c r="Q238">
        <v>75.42</v>
      </c>
      <c r="R238">
        <v>21.413</v>
      </c>
      <c r="S238">
        <f t="shared" si="35"/>
        <v>43.33</v>
      </c>
      <c r="T238">
        <f>SQRT(O238*O238)*100</f>
        <v>42.864728782500002</v>
      </c>
    </row>
    <row r="239" spans="1:20" x14ac:dyDescent="0.3">
      <c r="A239">
        <v>9817707</v>
      </c>
      <c r="B239">
        <f t="shared" si="27"/>
        <v>9.0999999999999998E-2</v>
      </c>
      <c r="C239">
        <f t="shared" si="28"/>
        <v>21.504000000000001</v>
      </c>
      <c r="D239">
        <v>-0.72</v>
      </c>
      <c r="E239">
        <v>0.02</v>
      </c>
      <c r="F239">
        <v>-0.7</v>
      </c>
      <c r="G239">
        <f t="shared" si="29"/>
        <v>1.0000000000000009E-2</v>
      </c>
      <c r="H239">
        <f t="shared" si="30"/>
        <v>9.9999999999999985E-3</v>
      </c>
      <c r="I239">
        <f t="shared" si="31"/>
        <v>0</v>
      </c>
      <c r="J239">
        <f>IF(ABS(D239-D238) &gt; $P$2, 1/2*(D239+D238)*9.81*B239 + J238, 0)</f>
        <v>0</v>
      </c>
      <c r="K239">
        <f>IF(ABS(E239-E238) &gt; $P$2, 1/2*(E239+E238)*9.81*B239 + K238, 0)</f>
        <v>0</v>
      </c>
      <c r="L239">
        <f>IF(ABS(F239-F238) &gt; $P$2, 1/2*(F239+F238)*9.81*B239 + L238, 0)</f>
        <v>0</v>
      </c>
      <c r="M239">
        <f t="shared" si="32"/>
        <v>0</v>
      </c>
      <c r="N239">
        <f t="shared" si="33"/>
        <v>0</v>
      </c>
      <c r="O239">
        <f t="shared" si="34"/>
        <v>-0.428647287825</v>
      </c>
      <c r="Q239">
        <v>74.8</v>
      </c>
      <c r="R239">
        <v>21.504000000000001</v>
      </c>
      <c r="S239">
        <f t="shared" si="35"/>
        <v>42.709999999999994</v>
      </c>
      <c r="T239">
        <f>SQRT(O239*O239)*100</f>
        <v>42.864728782500002</v>
      </c>
    </row>
    <row r="240" spans="1:20" x14ac:dyDescent="0.3">
      <c r="A240">
        <v>9817798</v>
      </c>
      <c r="B240">
        <f t="shared" si="27"/>
        <v>9.0999999999999998E-2</v>
      </c>
      <c r="C240">
        <f t="shared" si="28"/>
        <v>21.594999999999999</v>
      </c>
      <c r="D240">
        <v>-0.73</v>
      </c>
      <c r="E240">
        <v>0.03</v>
      </c>
      <c r="F240">
        <v>-0.69</v>
      </c>
      <c r="G240">
        <f t="shared" si="29"/>
        <v>1.0000000000000009E-2</v>
      </c>
      <c r="H240">
        <f t="shared" si="30"/>
        <v>9.9999999999999985E-3</v>
      </c>
      <c r="I240">
        <f t="shared" si="31"/>
        <v>1.0000000000000009E-2</v>
      </c>
      <c r="J240">
        <f>IF(ABS(D240-D239) &gt; $P$2, 1/2*(D240+D239)*9.81*B240 + J239, 0)</f>
        <v>0</v>
      </c>
      <c r="K240">
        <f>IF(ABS(E240-E239) &gt; $P$2, 1/2*(E240+E239)*9.81*B240 + K239, 0)</f>
        <v>0</v>
      </c>
      <c r="L240">
        <f>IF(ABS(F240-F239) &gt; $P$2, 1/2*(F240+F239)*9.81*B240 + L239, 0)</f>
        <v>0</v>
      </c>
      <c r="M240">
        <f t="shared" si="32"/>
        <v>0</v>
      </c>
      <c r="N240">
        <f t="shared" si="33"/>
        <v>0</v>
      </c>
      <c r="O240">
        <f t="shared" si="34"/>
        <v>-0.428647287825</v>
      </c>
      <c r="Q240">
        <v>74.8</v>
      </c>
      <c r="R240">
        <v>21.594999999999999</v>
      </c>
      <c r="S240">
        <f t="shared" si="35"/>
        <v>42.709999999999994</v>
      </c>
      <c r="T240">
        <f>SQRT(O240*O240)*100</f>
        <v>42.864728782500002</v>
      </c>
    </row>
    <row r="241" spans="1:20" x14ac:dyDescent="0.3">
      <c r="A241">
        <v>9817888</v>
      </c>
      <c r="B241">
        <f t="shared" si="27"/>
        <v>0.09</v>
      </c>
      <c r="C241">
        <f t="shared" si="28"/>
        <v>21.684999999999999</v>
      </c>
      <c r="D241">
        <v>-0.73</v>
      </c>
      <c r="E241">
        <v>0.03</v>
      </c>
      <c r="F241">
        <v>-0.69</v>
      </c>
      <c r="G241">
        <f t="shared" si="29"/>
        <v>0</v>
      </c>
      <c r="H241">
        <f t="shared" si="30"/>
        <v>0</v>
      </c>
      <c r="I241">
        <f t="shared" si="31"/>
        <v>0</v>
      </c>
      <c r="J241">
        <f>IF(ABS(D241-D240) &gt; $P$2, 1/2*(D241+D240)*9.81*B241 + J240, 0)</f>
        <v>0</v>
      </c>
      <c r="K241">
        <f>IF(ABS(E241-E240) &gt; $P$2, 1/2*(E241+E240)*9.81*B241 + K240, 0)</f>
        <v>0</v>
      </c>
      <c r="L241">
        <f>IF(ABS(F241-F240) &gt; $P$2, 1/2*(F241+F240)*9.81*B241 + L240, 0)</f>
        <v>0</v>
      </c>
      <c r="M241">
        <f t="shared" si="32"/>
        <v>0</v>
      </c>
      <c r="N241">
        <f t="shared" si="33"/>
        <v>0</v>
      </c>
      <c r="O241">
        <f t="shared" si="34"/>
        <v>-0.428647287825</v>
      </c>
      <c r="Q241">
        <v>74.8</v>
      </c>
      <c r="R241">
        <v>21.684999999999999</v>
      </c>
      <c r="S241">
        <f t="shared" si="35"/>
        <v>42.709999999999994</v>
      </c>
      <c r="T241">
        <f>SQRT(O241*O241)*100</f>
        <v>42.864728782500002</v>
      </c>
    </row>
    <row r="242" spans="1:20" x14ac:dyDescent="0.3">
      <c r="A242">
        <v>9817979</v>
      </c>
      <c r="B242">
        <f t="shared" si="27"/>
        <v>9.0999999999999998E-2</v>
      </c>
      <c r="C242">
        <f t="shared" si="28"/>
        <v>21.776</v>
      </c>
      <c r="D242">
        <v>-0.73</v>
      </c>
      <c r="E242">
        <v>0.03</v>
      </c>
      <c r="F242">
        <v>-0.7</v>
      </c>
      <c r="G242">
        <f t="shared" si="29"/>
        <v>0</v>
      </c>
      <c r="H242">
        <f t="shared" si="30"/>
        <v>0</v>
      </c>
      <c r="I242">
        <f t="shared" si="31"/>
        <v>1.0000000000000009E-2</v>
      </c>
      <c r="J242">
        <f>IF(ABS(D242-D241) &gt; $P$2, 1/2*(D242+D241)*9.81*B242 + J241, 0)</f>
        <v>0</v>
      </c>
      <c r="K242">
        <f>IF(ABS(E242-E241) &gt; $P$2, 1/2*(E242+E241)*9.81*B242 + K241, 0)</f>
        <v>0</v>
      </c>
      <c r="L242">
        <f>IF(ABS(F242-F241) &gt; $P$2, 1/2*(F242+F241)*9.81*B242 + L241, 0)</f>
        <v>0</v>
      </c>
      <c r="M242">
        <f t="shared" si="32"/>
        <v>0</v>
      </c>
      <c r="N242">
        <f t="shared" si="33"/>
        <v>0</v>
      </c>
      <c r="O242">
        <f t="shared" si="34"/>
        <v>-0.428647287825</v>
      </c>
      <c r="Q242">
        <v>74.59</v>
      </c>
      <c r="R242">
        <v>21.776</v>
      </c>
      <c r="S242">
        <f t="shared" si="35"/>
        <v>42.5</v>
      </c>
      <c r="T242">
        <f>SQRT(O242*O242)*100</f>
        <v>42.864728782500002</v>
      </c>
    </row>
    <row r="243" spans="1:20" x14ac:dyDescent="0.3">
      <c r="A243">
        <v>9818070</v>
      </c>
      <c r="B243">
        <f t="shared" si="27"/>
        <v>9.0999999999999998E-2</v>
      </c>
      <c r="C243">
        <f t="shared" si="28"/>
        <v>21.867000000000001</v>
      </c>
      <c r="D243">
        <v>-0.73</v>
      </c>
      <c r="E243">
        <v>0.04</v>
      </c>
      <c r="F243">
        <v>-0.7</v>
      </c>
      <c r="G243">
        <f t="shared" si="29"/>
        <v>0</v>
      </c>
      <c r="H243">
        <f t="shared" si="30"/>
        <v>1.0000000000000002E-2</v>
      </c>
      <c r="I243">
        <f t="shared" si="31"/>
        <v>0</v>
      </c>
      <c r="J243">
        <f>IF(ABS(D243-D242) &gt; $P$2, 1/2*(D243+D242)*9.81*B243 + J242, 0)</f>
        <v>0</v>
      </c>
      <c r="K243">
        <f>IF(ABS(E243-E242) &gt; $P$2, 1/2*(E243+E242)*9.81*B243 + K242, 0)</f>
        <v>0</v>
      </c>
      <c r="L243">
        <f>IF(ABS(F243-F242) &gt; $P$2, 1/2*(F243+F242)*9.81*B243 + L242, 0)</f>
        <v>0</v>
      </c>
      <c r="M243">
        <f t="shared" si="32"/>
        <v>0</v>
      </c>
      <c r="N243">
        <f t="shared" si="33"/>
        <v>0</v>
      </c>
      <c r="O243">
        <f t="shared" si="34"/>
        <v>-0.428647287825</v>
      </c>
      <c r="Q243">
        <v>74.8</v>
      </c>
      <c r="R243">
        <v>21.867000000000001</v>
      </c>
      <c r="S243">
        <f t="shared" si="35"/>
        <v>42.709999999999994</v>
      </c>
      <c r="T243">
        <f>SQRT(O243*O243)*100</f>
        <v>42.864728782500002</v>
      </c>
    </row>
    <row r="244" spans="1:20" x14ac:dyDescent="0.3">
      <c r="A244">
        <v>9818161</v>
      </c>
      <c r="B244">
        <f t="shared" si="27"/>
        <v>9.0999999999999998E-2</v>
      </c>
      <c r="C244">
        <f t="shared" si="28"/>
        <v>21.957999999999998</v>
      </c>
      <c r="D244">
        <v>-0.73</v>
      </c>
      <c r="E244">
        <v>0.04</v>
      </c>
      <c r="F244">
        <v>-0.7</v>
      </c>
      <c r="G244">
        <f t="shared" si="29"/>
        <v>0</v>
      </c>
      <c r="H244">
        <f t="shared" si="30"/>
        <v>0</v>
      </c>
      <c r="I244">
        <f t="shared" si="31"/>
        <v>0</v>
      </c>
      <c r="J244">
        <f>IF(ABS(D244-D243) &gt; $P$2, 1/2*(D244+D243)*9.81*B244 + J243, 0)</f>
        <v>0</v>
      </c>
      <c r="K244">
        <f>IF(ABS(E244-E243) &gt; $P$2, 1/2*(E244+E243)*9.81*B244 + K243, 0)</f>
        <v>0</v>
      </c>
      <c r="L244">
        <f>IF(ABS(F244-F243) &gt; $P$2, 1/2*(F244+F243)*9.81*B244 + L243, 0)</f>
        <v>0</v>
      </c>
      <c r="M244">
        <f t="shared" si="32"/>
        <v>0</v>
      </c>
      <c r="N244">
        <f t="shared" si="33"/>
        <v>0</v>
      </c>
      <c r="O244">
        <f t="shared" si="34"/>
        <v>-0.428647287825</v>
      </c>
      <c r="Q244">
        <v>74.8</v>
      </c>
      <c r="R244">
        <v>21.957999999999998</v>
      </c>
      <c r="S244">
        <f t="shared" si="35"/>
        <v>42.709999999999994</v>
      </c>
      <c r="T244">
        <f>SQRT(O244*O244)*100</f>
        <v>42.864728782500002</v>
      </c>
    </row>
    <row r="245" spans="1:20" x14ac:dyDescent="0.3">
      <c r="A245">
        <v>9818252</v>
      </c>
      <c r="B245">
        <f t="shared" si="27"/>
        <v>9.0999999999999998E-2</v>
      </c>
      <c r="C245">
        <f t="shared" si="28"/>
        <v>22.048999999999999</v>
      </c>
      <c r="D245">
        <v>-0.73</v>
      </c>
      <c r="E245">
        <v>0.04</v>
      </c>
      <c r="F245">
        <v>-0.7</v>
      </c>
      <c r="G245">
        <f t="shared" si="29"/>
        <v>0</v>
      </c>
      <c r="H245">
        <f t="shared" si="30"/>
        <v>0</v>
      </c>
      <c r="I245">
        <f t="shared" si="31"/>
        <v>0</v>
      </c>
      <c r="J245">
        <f>IF(ABS(D245-D244) &gt; $P$2, 1/2*(D245+D244)*9.81*B245 + J244, 0)</f>
        <v>0</v>
      </c>
      <c r="K245">
        <f>IF(ABS(E245-E244) &gt; $P$2, 1/2*(E245+E244)*9.81*B245 + K244, 0)</f>
        <v>0</v>
      </c>
      <c r="L245">
        <f>IF(ABS(F245-F244) &gt; $P$2, 1/2*(F245+F244)*9.81*B245 + L244, 0)</f>
        <v>0</v>
      </c>
      <c r="M245">
        <f t="shared" si="32"/>
        <v>0</v>
      </c>
      <c r="N245">
        <f t="shared" si="33"/>
        <v>0</v>
      </c>
      <c r="O245">
        <f t="shared" si="34"/>
        <v>-0.428647287825</v>
      </c>
      <c r="Q245">
        <v>74.8</v>
      </c>
      <c r="R245">
        <v>22.048999999999999</v>
      </c>
      <c r="S245">
        <f t="shared" si="35"/>
        <v>42.709999999999994</v>
      </c>
      <c r="T245">
        <f>SQRT(O245*O245)*100</f>
        <v>42.864728782500002</v>
      </c>
    </row>
    <row r="246" spans="1:20" x14ac:dyDescent="0.3">
      <c r="A246">
        <v>9818342</v>
      </c>
      <c r="B246">
        <f t="shared" si="27"/>
        <v>0.09</v>
      </c>
      <c r="C246">
        <f t="shared" si="28"/>
        <v>22.138999999999999</v>
      </c>
      <c r="D246">
        <v>-0.73</v>
      </c>
      <c r="E246">
        <v>0.04</v>
      </c>
      <c r="F246">
        <v>-0.69</v>
      </c>
      <c r="G246">
        <f t="shared" si="29"/>
        <v>0</v>
      </c>
      <c r="H246">
        <f t="shared" si="30"/>
        <v>0</v>
      </c>
      <c r="I246">
        <f t="shared" si="31"/>
        <v>1.0000000000000009E-2</v>
      </c>
      <c r="J246">
        <f>IF(ABS(D246-D245) &gt; $P$2, 1/2*(D246+D245)*9.81*B246 + J245, 0)</f>
        <v>0</v>
      </c>
      <c r="K246">
        <f>IF(ABS(E246-E245) &gt; $P$2, 1/2*(E246+E245)*9.81*B246 + K245, 0)</f>
        <v>0</v>
      </c>
      <c r="L246">
        <f>IF(ABS(F246-F245) &gt; $P$2, 1/2*(F246+F245)*9.81*B246 + L245, 0)</f>
        <v>0</v>
      </c>
      <c r="M246">
        <f t="shared" si="32"/>
        <v>0</v>
      </c>
      <c r="N246">
        <f t="shared" si="33"/>
        <v>0</v>
      </c>
      <c r="O246">
        <f t="shared" si="34"/>
        <v>-0.428647287825</v>
      </c>
      <c r="Q246">
        <v>75.209999999999994</v>
      </c>
      <c r="R246">
        <v>22.138999999999999</v>
      </c>
      <c r="S246">
        <f t="shared" si="35"/>
        <v>43.11999999999999</v>
      </c>
      <c r="T246">
        <f>SQRT(O246*O246)*100</f>
        <v>42.864728782500002</v>
      </c>
    </row>
    <row r="247" spans="1:20" x14ac:dyDescent="0.3">
      <c r="A247">
        <v>9818433</v>
      </c>
      <c r="B247">
        <f t="shared" si="27"/>
        <v>9.0999999999999998E-2</v>
      </c>
      <c r="C247">
        <f t="shared" si="28"/>
        <v>22.23</v>
      </c>
      <c r="D247">
        <v>-0.72</v>
      </c>
      <c r="E247">
        <v>0.03</v>
      </c>
      <c r="F247">
        <v>-0.7</v>
      </c>
      <c r="G247">
        <f t="shared" si="29"/>
        <v>1.0000000000000009E-2</v>
      </c>
      <c r="H247">
        <f t="shared" si="30"/>
        <v>1.0000000000000002E-2</v>
      </c>
      <c r="I247">
        <f t="shared" si="31"/>
        <v>1.0000000000000009E-2</v>
      </c>
      <c r="J247">
        <f>IF(ABS(D247-D246) &gt; $P$2, 1/2*(D247+D246)*9.81*B247 + J246, 0)</f>
        <v>0</v>
      </c>
      <c r="K247">
        <f>IF(ABS(E247-E246) &gt; $P$2, 1/2*(E247+E246)*9.81*B247 + K246, 0)</f>
        <v>0</v>
      </c>
      <c r="L247">
        <f>IF(ABS(F247-F246) &gt; $P$2, 1/2*(F247+F246)*9.81*B247 + L246, 0)</f>
        <v>0</v>
      </c>
      <c r="M247">
        <f t="shared" si="32"/>
        <v>0</v>
      </c>
      <c r="N247">
        <f t="shared" si="33"/>
        <v>0</v>
      </c>
      <c r="O247">
        <f t="shared" si="34"/>
        <v>-0.428647287825</v>
      </c>
      <c r="Q247">
        <v>74.59</v>
      </c>
      <c r="R247">
        <v>22.23</v>
      </c>
      <c r="S247">
        <f t="shared" si="35"/>
        <v>42.5</v>
      </c>
      <c r="T247">
        <f>SQRT(O247*O247)*100</f>
        <v>42.864728782500002</v>
      </c>
    </row>
    <row r="248" spans="1:20" x14ac:dyDescent="0.3">
      <c r="A248">
        <v>9818523</v>
      </c>
      <c r="B248">
        <f t="shared" si="27"/>
        <v>0.09</v>
      </c>
      <c r="C248">
        <f t="shared" si="28"/>
        <v>22.32</v>
      </c>
      <c r="D248">
        <v>-0.73</v>
      </c>
      <c r="E248">
        <v>0.03</v>
      </c>
      <c r="F248">
        <v>-0.69</v>
      </c>
      <c r="G248">
        <f t="shared" si="29"/>
        <v>1.0000000000000009E-2</v>
      </c>
      <c r="H248">
        <f t="shared" si="30"/>
        <v>0</v>
      </c>
      <c r="I248">
        <f t="shared" si="31"/>
        <v>1.0000000000000009E-2</v>
      </c>
      <c r="J248">
        <f>IF(ABS(D248-D247) &gt; $P$2, 1/2*(D248+D247)*9.81*B248 + J247, 0)</f>
        <v>0</v>
      </c>
      <c r="K248">
        <f>IF(ABS(E248-E247) &gt; $P$2, 1/2*(E248+E247)*9.81*B248 + K247, 0)</f>
        <v>0</v>
      </c>
      <c r="L248">
        <f>IF(ABS(F248-F247) &gt; $P$2, 1/2*(F248+F247)*9.81*B248 + L247, 0)</f>
        <v>0</v>
      </c>
      <c r="M248">
        <f t="shared" si="32"/>
        <v>0</v>
      </c>
      <c r="N248">
        <f t="shared" si="33"/>
        <v>0</v>
      </c>
      <c r="O248">
        <f t="shared" si="34"/>
        <v>-0.428647287825</v>
      </c>
      <c r="Q248">
        <v>74.59</v>
      </c>
      <c r="R248">
        <v>22.32</v>
      </c>
      <c r="S248">
        <f t="shared" si="35"/>
        <v>42.5</v>
      </c>
      <c r="T248">
        <f>SQRT(O248*O248)*100</f>
        <v>42.864728782500002</v>
      </c>
    </row>
    <row r="249" spans="1:20" x14ac:dyDescent="0.3">
      <c r="A249">
        <v>9818614</v>
      </c>
      <c r="B249">
        <f t="shared" si="27"/>
        <v>9.0999999999999998E-2</v>
      </c>
      <c r="C249">
        <f t="shared" si="28"/>
        <v>22.411000000000001</v>
      </c>
      <c r="D249">
        <v>-0.72</v>
      </c>
      <c r="E249">
        <v>0.03</v>
      </c>
      <c r="F249">
        <v>-0.7</v>
      </c>
      <c r="G249">
        <f t="shared" si="29"/>
        <v>1.0000000000000009E-2</v>
      </c>
      <c r="H249">
        <f t="shared" si="30"/>
        <v>0</v>
      </c>
      <c r="I249">
        <f t="shared" si="31"/>
        <v>1.0000000000000009E-2</v>
      </c>
      <c r="J249">
        <f>IF(ABS(D249-D248) &gt; $P$2, 1/2*(D249+D248)*9.81*B249 + J248, 0)</f>
        <v>0</v>
      </c>
      <c r="K249">
        <f>IF(ABS(E249-E248) &gt; $P$2, 1/2*(E249+E248)*9.81*B249 + K248, 0)</f>
        <v>0</v>
      </c>
      <c r="L249">
        <f>IF(ABS(F249-F248) &gt; $P$2, 1/2*(F249+F248)*9.81*B249 + L248, 0)</f>
        <v>0</v>
      </c>
      <c r="M249">
        <f t="shared" si="32"/>
        <v>0</v>
      </c>
      <c r="N249">
        <f t="shared" si="33"/>
        <v>0</v>
      </c>
      <c r="O249">
        <f t="shared" si="34"/>
        <v>-0.428647287825</v>
      </c>
      <c r="Q249">
        <v>74.8</v>
      </c>
      <c r="R249">
        <v>22.411000000000001</v>
      </c>
      <c r="S249">
        <f t="shared" si="35"/>
        <v>42.709999999999994</v>
      </c>
      <c r="T249">
        <f>SQRT(O249*O249)*100</f>
        <v>42.864728782500002</v>
      </c>
    </row>
    <row r="250" spans="1:20" x14ac:dyDescent="0.3">
      <c r="A250">
        <v>9818705</v>
      </c>
      <c r="B250">
        <f t="shared" si="27"/>
        <v>9.0999999999999998E-2</v>
      </c>
      <c r="C250">
        <f t="shared" si="28"/>
        <v>22.501999999999999</v>
      </c>
      <c r="D250">
        <v>-0.73</v>
      </c>
      <c r="E250">
        <v>0.04</v>
      </c>
      <c r="F250">
        <v>-0.7</v>
      </c>
      <c r="G250">
        <f t="shared" si="29"/>
        <v>1.0000000000000009E-2</v>
      </c>
      <c r="H250">
        <f t="shared" si="30"/>
        <v>1.0000000000000002E-2</v>
      </c>
      <c r="I250">
        <f t="shared" si="31"/>
        <v>0</v>
      </c>
      <c r="J250">
        <f>IF(ABS(D250-D249) &gt; $P$2, 1/2*(D250+D249)*9.81*B250 + J249, 0)</f>
        <v>0</v>
      </c>
      <c r="K250">
        <f>IF(ABS(E250-E249) &gt; $P$2, 1/2*(E250+E249)*9.81*B250 + K249, 0)</f>
        <v>0</v>
      </c>
      <c r="L250">
        <f>IF(ABS(F250-F249) &gt; $P$2, 1/2*(F250+F249)*9.81*B250 + L249, 0)</f>
        <v>0</v>
      </c>
      <c r="M250">
        <f t="shared" si="32"/>
        <v>0</v>
      </c>
      <c r="N250">
        <f t="shared" si="33"/>
        <v>0</v>
      </c>
      <c r="O250">
        <f t="shared" si="34"/>
        <v>-0.428647287825</v>
      </c>
      <c r="Q250">
        <v>74.8</v>
      </c>
      <c r="R250">
        <v>22.501999999999999</v>
      </c>
      <c r="S250">
        <f t="shared" si="35"/>
        <v>42.709999999999994</v>
      </c>
      <c r="T250">
        <f>SQRT(O250*O250)*100</f>
        <v>42.864728782500002</v>
      </c>
    </row>
    <row r="251" spans="1:20" x14ac:dyDescent="0.3">
      <c r="A251">
        <v>9818796</v>
      </c>
      <c r="B251">
        <f t="shared" si="27"/>
        <v>9.0999999999999998E-2</v>
      </c>
      <c r="C251">
        <f t="shared" si="28"/>
        <v>22.593</v>
      </c>
      <c r="D251">
        <v>-0.73</v>
      </c>
      <c r="E251">
        <v>0.03</v>
      </c>
      <c r="F251">
        <v>-0.7</v>
      </c>
      <c r="G251">
        <f t="shared" si="29"/>
        <v>0</v>
      </c>
      <c r="H251">
        <f t="shared" si="30"/>
        <v>1.0000000000000002E-2</v>
      </c>
      <c r="I251">
        <f t="shared" si="31"/>
        <v>0</v>
      </c>
      <c r="J251">
        <f>IF(ABS(D251-D250) &gt; $P$2, 1/2*(D251+D250)*9.81*B251 + J250, 0)</f>
        <v>0</v>
      </c>
      <c r="K251">
        <f>IF(ABS(E251-E250) &gt; $P$2, 1/2*(E251+E250)*9.81*B251 + K250, 0)</f>
        <v>0</v>
      </c>
      <c r="L251">
        <f>IF(ABS(F251-F250) &gt; $P$2, 1/2*(F251+F250)*9.81*B251 + L250, 0)</f>
        <v>0</v>
      </c>
      <c r="M251">
        <f t="shared" si="32"/>
        <v>0</v>
      </c>
      <c r="N251">
        <f t="shared" si="33"/>
        <v>0</v>
      </c>
      <c r="O251">
        <f t="shared" si="34"/>
        <v>-0.428647287825</v>
      </c>
      <c r="Q251">
        <v>75.84</v>
      </c>
      <c r="R251">
        <v>22.593</v>
      </c>
      <c r="S251">
        <f t="shared" si="35"/>
        <v>43.75</v>
      </c>
      <c r="T251">
        <f>SQRT(O251*O251)*100</f>
        <v>42.864728782500002</v>
      </c>
    </row>
    <row r="252" spans="1:20" x14ac:dyDescent="0.3">
      <c r="A252">
        <v>9818887</v>
      </c>
      <c r="B252">
        <f t="shared" si="27"/>
        <v>9.0999999999999998E-2</v>
      </c>
      <c r="C252">
        <f t="shared" si="28"/>
        <v>22.684000000000001</v>
      </c>
      <c r="D252">
        <v>-0.72</v>
      </c>
      <c r="E252">
        <v>0.03</v>
      </c>
      <c r="F252">
        <v>-0.7</v>
      </c>
      <c r="G252">
        <f t="shared" si="29"/>
        <v>1.0000000000000009E-2</v>
      </c>
      <c r="H252">
        <f t="shared" si="30"/>
        <v>0</v>
      </c>
      <c r="I252">
        <f t="shared" si="31"/>
        <v>0</v>
      </c>
      <c r="J252">
        <f>IF(ABS(D252-D251) &gt; $P$2, 1/2*(D252+D251)*9.81*B252 + J251, 0)</f>
        <v>0</v>
      </c>
      <c r="K252">
        <f>IF(ABS(E252-E251) &gt; $P$2, 1/2*(E252+E251)*9.81*B252 + K251, 0)</f>
        <v>0</v>
      </c>
      <c r="L252">
        <f>IF(ABS(F252-F251) &gt; $P$2, 1/2*(F252+F251)*9.81*B252 + L251, 0)</f>
        <v>0</v>
      </c>
      <c r="M252">
        <f t="shared" si="32"/>
        <v>0</v>
      </c>
      <c r="N252">
        <f t="shared" si="33"/>
        <v>0</v>
      </c>
      <c r="O252">
        <f t="shared" si="34"/>
        <v>-0.428647287825</v>
      </c>
      <c r="Q252">
        <v>74.8</v>
      </c>
      <c r="R252">
        <v>22.684000000000001</v>
      </c>
      <c r="S252">
        <f t="shared" si="35"/>
        <v>42.709999999999994</v>
      </c>
      <c r="T252">
        <f>SQRT(O252*O252)*100</f>
        <v>42.864728782500002</v>
      </c>
    </row>
    <row r="253" spans="1:20" x14ac:dyDescent="0.3">
      <c r="A253">
        <v>9818977</v>
      </c>
      <c r="B253">
        <f t="shared" si="27"/>
        <v>0.09</v>
      </c>
      <c r="C253">
        <f t="shared" si="28"/>
        <v>22.774000000000001</v>
      </c>
      <c r="D253">
        <v>-0.73</v>
      </c>
      <c r="E253">
        <v>0.03</v>
      </c>
      <c r="F253">
        <v>-0.69</v>
      </c>
      <c r="G253">
        <f t="shared" si="29"/>
        <v>1.0000000000000009E-2</v>
      </c>
      <c r="H253">
        <f t="shared" si="30"/>
        <v>0</v>
      </c>
      <c r="I253">
        <f t="shared" si="31"/>
        <v>1.0000000000000009E-2</v>
      </c>
      <c r="J253">
        <f>IF(ABS(D253-D252) &gt; $P$2, 1/2*(D253+D252)*9.81*B253 + J252, 0)</f>
        <v>0</v>
      </c>
      <c r="K253">
        <f>IF(ABS(E253-E252) &gt; $P$2, 1/2*(E253+E252)*9.81*B253 + K252, 0)</f>
        <v>0</v>
      </c>
      <c r="L253">
        <f>IF(ABS(F253-F252) &gt; $P$2, 1/2*(F253+F252)*9.81*B253 + L252, 0)</f>
        <v>0</v>
      </c>
      <c r="M253">
        <f t="shared" si="32"/>
        <v>0</v>
      </c>
      <c r="N253">
        <f t="shared" si="33"/>
        <v>0</v>
      </c>
      <c r="O253">
        <f t="shared" si="34"/>
        <v>-0.428647287825</v>
      </c>
      <c r="Q253">
        <v>74.59</v>
      </c>
      <c r="R253">
        <v>22.774000000000001</v>
      </c>
      <c r="S253">
        <f t="shared" si="35"/>
        <v>42.5</v>
      </c>
      <c r="T253">
        <f>SQRT(O253*O253)*100</f>
        <v>42.864728782500002</v>
      </c>
    </row>
    <row r="254" spans="1:20" x14ac:dyDescent="0.3">
      <c r="A254">
        <v>9819068</v>
      </c>
      <c r="B254">
        <f t="shared" si="27"/>
        <v>9.0999999999999998E-2</v>
      </c>
      <c r="C254">
        <f t="shared" si="28"/>
        <v>22.864999999999998</v>
      </c>
      <c r="D254">
        <v>-0.73</v>
      </c>
      <c r="E254">
        <v>0.03</v>
      </c>
      <c r="F254">
        <v>-0.7</v>
      </c>
      <c r="G254">
        <f t="shared" si="29"/>
        <v>0</v>
      </c>
      <c r="H254">
        <f t="shared" si="30"/>
        <v>0</v>
      </c>
      <c r="I254">
        <f t="shared" si="31"/>
        <v>1.0000000000000009E-2</v>
      </c>
      <c r="J254">
        <f>IF(ABS(D254-D253) &gt; $P$2, 1/2*(D254+D253)*9.81*B254 + J253, 0)</f>
        <v>0</v>
      </c>
      <c r="K254">
        <f>IF(ABS(E254-E253) &gt; $P$2, 1/2*(E254+E253)*9.81*B254 + K253, 0)</f>
        <v>0</v>
      </c>
      <c r="L254">
        <f>IF(ABS(F254-F253) &gt; $P$2, 1/2*(F254+F253)*9.81*B254 + L253, 0)</f>
        <v>0</v>
      </c>
      <c r="M254">
        <f t="shared" si="32"/>
        <v>0</v>
      </c>
      <c r="N254">
        <f t="shared" si="33"/>
        <v>0</v>
      </c>
      <c r="O254">
        <f t="shared" si="34"/>
        <v>-0.428647287825</v>
      </c>
      <c r="Q254">
        <v>74.8</v>
      </c>
      <c r="R254">
        <v>22.864999999999998</v>
      </c>
      <c r="S254">
        <f t="shared" si="35"/>
        <v>42.709999999999994</v>
      </c>
      <c r="T254">
        <f>SQRT(O254*O254)*100</f>
        <v>42.864728782500002</v>
      </c>
    </row>
    <row r="255" spans="1:20" x14ac:dyDescent="0.3">
      <c r="A255">
        <v>9819159</v>
      </c>
      <c r="B255">
        <f t="shared" si="27"/>
        <v>9.0999999999999998E-2</v>
      </c>
      <c r="C255">
        <f t="shared" si="28"/>
        <v>22.956</v>
      </c>
      <c r="D255">
        <v>-0.73</v>
      </c>
      <c r="E255">
        <v>0.03</v>
      </c>
      <c r="F255">
        <v>-0.7</v>
      </c>
      <c r="G255">
        <f t="shared" si="29"/>
        <v>0</v>
      </c>
      <c r="H255">
        <f t="shared" si="30"/>
        <v>0</v>
      </c>
      <c r="I255">
        <f t="shared" si="31"/>
        <v>0</v>
      </c>
      <c r="J255">
        <f>IF(ABS(D255-D254) &gt; $P$2, 1/2*(D255+D254)*9.81*B255 + J254, 0)</f>
        <v>0</v>
      </c>
      <c r="K255">
        <f>IF(ABS(E255-E254) &gt; $P$2, 1/2*(E255+E254)*9.81*B255 + K254, 0)</f>
        <v>0</v>
      </c>
      <c r="L255">
        <f>IF(ABS(F255-F254) &gt; $P$2, 1/2*(F255+F254)*9.81*B255 + L254, 0)</f>
        <v>0</v>
      </c>
      <c r="M255">
        <f t="shared" si="32"/>
        <v>0</v>
      </c>
      <c r="N255">
        <f t="shared" si="33"/>
        <v>0</v>
      </c>
      <c r="O255">
        <f t="shared" si="34"/>
        <v>-0.428647287825</v>
      </c>
      <c r="Q255">
        <v>74.8</v>
      </c>
      <c r="R255">
        <v>22.956</v>
      </c>
      <c r="S255">
        <f t="shared" si="35"/>
        <v>42.709999999999994</v>
      </c>
      <c r="T255">
        <f>SQRT(O255*O255)*100</f>
        <v>42.864728782500002</v>
      </c>
    </row>
    <row r="256" spans="1:20" x14ac:dyDescent="0.3">
      <c r="A256">
        <v>9819249</v>
      </c>
      <c r="B256">
        <f t="shared" si="27"/>
        <v>0.09</v>
      </c>
      <c r="C256">
        <f t="shared" si="28"/>
        <v>23.045999999999999</v>
      </c>
      <c r="D256">
        <v>-0.74</v>
      </c>
      <c r="E256">
        <v>0.03</v>
      </c>
      <c r="F256">
        <v>-0.69</v>
      </c>
      <c r="G256">
        <f t="shared" si="29"/>
        <v>1.0000000000000009E-2</v>
      </c>
      <c r="H256">
        <f t="shared" si="30"/>
        <v>0</v>
      </c>
      <c r="I256">
        <f t="shared" si="31"/>
        <v>1.0000000000000009E-2</v>
      </c>
      <c r="J256">
        <f>IF(ABS(D256-D255) &gt; $P$2, 1/2*(D256+D255)*9.81*B256 + J255, 0)</f>
        <v>0</v>
      </c>
      <c r="K256">
        <f>IF(ABS(E256-E255) &gt; $P$2, 1/2*(E256+E255)*9.81*B256 + K255, 0)</f>
        <v>0</v>
      </c>
      <c r="L256">
        <f>IF(ABS(F256-F255) &gt; $P$2, 1/2*(F256+F255)*9.81*B256 + L255, 0)</f>
        <v>0</v>
      </c>
      <c r="M256">
        <f t="shared" si="32"/>
        <v>0</v>
      </c>
      <c r="N256">
        <f t="shared" si="33"/>
        <v>0</v>
      </c>
      <c r="O256">
        <f t="shared" si="34"/>
        <v>-0.428647287825</v>
      </c>
      <c r="Q256">
        <v>74.8</v>
      </c>
      <c r="R256">
        <v>23.045999999999999</v>
      </c>
      <c r="S256">
        <f t="shared" si="35"/>
        <v>42.709999999999994</v>
      </c>
      <c r="T256">
        <f>SQRT(O256*O256)*100</f>
        <v>42.864728782500002</v>
      </c>
    </row>
    <row r="257" spans="1:20" x14ac:dyDescent="0.3">
      <c r="A257">
        <v>9819340</v>
      </c>
      <c r="B257">
        <f t="shared" si="27"/>
        <v>9.0999999999999998E-2</v>
      </c>
      <c r="C257">
        <f t="shared" si="28"/>
        <v>23.137</v>
      </c>
      <c r="D257">
        <v>-0.73</v>
      </c>
      <c r="E257">
        <v>0.03</v>
      </c>
      <c r="F257">
        <v>-0.7</v>
      </c>
      <c r="G257">
        <f t="shared" si="29"/>
        <v>1.0000000000000009E-2</v>
      </c>
      <c r="H257">
        <f t="shared" si="30"/>
        <v>0</v>
      </c>
      <c r="I257">
        <f t="shared" si="31"/>
        <v>1.0000000000000009E-2</v>
      </c>
      <c r="J257">
        <f>IF(ABS(D257-D256) &gt; $P$2, 1/2*(D257+D256)*9.81*B257 + J256, 0)</f>
        <v>0</v>
      </c>
      <c r="K257">
        <f>IF(ABS(E257-E256) &gt; $P$2, 1/2*(E257+E256)*9.81*B257 + K256, 0)</f>
        <v>0</v>
      </c>
      <c r="L257">
        <f>IF(ABS(F257-F256) &gt; $P$2, 1/2*(F257+F256)*9.81*B257 + L256, 0)</f>
        <v>0</v>
      </c>
      <c r="M257">
        <f t="shared" si="32"/>
        <v>0</v>
      </c>
      <c r="N257">
        <f t="shared" si="33"/>
        <v>0</v>
      </c>
      <c r="O257">
        <f t="shared" si="34"/>
        <v>-0.428647287825</v>
      </c>
      <c r="Q257">
        <v>74.59</v>
      </c>
      <c r="R257">
        <v>23.137</v>
      </c>
      <c r="S257">
        <f t="shared" si="35"/>
        <v>42.5</v>
      </c>
      <c r="T257">
        <f>SQRT(O257*O257)*100</f>
        <v>42.864728782500002</v>
      </c>
    </row>
    <row r="258" spans="1:20" x14ac:dyDescent="0.3">
      <c r="A258">
        <v>9819430</v>
      </c>
      <c r="B258">
        <f t="shared" si="27"/>
        <v>0.09</v>
      </c>
      <c r="C258">
        <f t="shared" si="28"/>
        <v>23.227</v>
      </c>
      <c r="D258">
        <v>-0.73</v>
      </c>
      <c r="E258">
        <v>0.04</v>
      </c>
      <c r="F258">
        <v>-0.7</v>
      </c>
      <c r="G258">
        <f t="shared" si="29"/>
        <v>0</v>
      </c>
      <c r="H258">
        <f t="shared" si="30"/>
        <v>1.0000000000000002E-2</v>
      </c>
      <c r="I258">
        <f t="shared" si="31"/>
        <v>0</v>
      </c>
      <c r="J258">
        <f>IF(ABS(D258-D257) &gt; $P$2, 1/2*(D258+D257)*9.81*B258 + J257, 0)</f>
        <v>0</v>
      </c>
      <c r="K258">
        <f>IF(ABS(E258-E257) &gt; $P$2, 1/2*(E258+E257)*9.81*B258 + K257, 0)</f>
        <v>0</v>
      </c>
      <c r="L258">
        <f>IF(ABS(F258-F257) &gt; $P$2, 1/2*(F258+F257)*9.81*B258 + L257, 0)</f>
        <v>0</v>
      </c>
      <c r="M258">
        <f t="shared" si="32"/>
        <v>0</v>
      </c>
      <c r="N258">
        <f t="shared" si="33"/>
        <v>0</v>
      </c>
      <c r="O258">
        <f t="shared" si="34"/>
        <v>-0.428647287825</v>
      </c>
      <c r="Q258">
        <v>74.8</v>
      </c>
      <c r="R258">
        <v>23.227</v>
      </c>
      <c r="S258">
        <f t="shared" si="35"/>
        <v>42.709999999999994</v>
      </c>
      <c r="T258">
        <f>SQRT(O258*O258)*100</f>
        <v>42.864728782500002</v>
      </c>
    </row>
    <row r="259" spans="1:20" x14ac:dyDescent="0.3">
      <c r="A259">
        <v>9819522</v>
      </c>
      <c r="B259">
        <f t="shared" si="27"/>
        <v>9.1999999999999998E-2</v>
      </c>
      <c r="C259">
        <f t="shared" si="28"/>
        <v>23.318999999999999</v>
      </c>
      <c r="D259">
        <v>-0.73</v>
      </c>
      <c r="E259">
        <v>0.03</v>
      </c>
      <c r="F259">
        <v>-0.71</v>
      </c>
      <c r="G259">
        <f t="shared" si="29"/>
        <v>0</v>
      </c>
      <c r="H259">
        <f t="shared" si="30"/>
        <v>1.0000000000000002E-2</v>
      </c>
      <c r="I259">
        <f t="shared" si="31"/>
        <v>1.0000000000000009E-2</v>
      </c>
      <c r="J259">
        <f>IF(ABS(D259-D258) &gt; $P$2, 1/2*(D259+D258)*9.81*B259 + J258, 0)</f>
        <v>0</v>
      </c>
      <c r="K259">
        <f>IF(ABS(E259-E258) &gt; $P$2, 1/2*(E259+E258)*9.81*B259 + K258, 0)</f>
        <v>0</v>
      </c>
      <c r="L259">
        <f>IF(ABS(F259-F258) &gt; $P$2, 1/2*(F259+F258)*9.81*B259 + L258, 0)</f>
        <v>0</v>
      </c>
      <c r="M259">
        <f t="shared" si="32"/>
        <v>0</v>
      </c>
      <c r="N259">
        <f t="shared" si="33"/>
        <v>0</v>
      </c>
      <c r="O259">
        <f t="shared" si="34"/>
        <v>-0.428647287825</v>
      </c>
      <c r="Q259">
        <v>74.59</v>
      </c>
      <c r="R259">
        <v>23.318999999999999</v>
      </c>
      <c r="S259">
        <f t="shared" si="35"/>
        <v>42.5</v>
      </c>
      <c r="T259">
        <f>SQRT(O259*O259)*100</f>
        <v>42.864728782500002</v>
      </c>
    </row>
    <row r="260" spans="1:20" x14ac:dyDescent="0.3">
      <c r="A260">
        <v>9819613</v>
      </c>
      <c r="B260">
        <f t="shared" ref="B260:B301" si="36">(A260-A259)/1000</f>
        <v>9.0999999999999998E-2</v>
      </c>
      <c r="C260">
        <f t="shared" ref="C260:C301" si="37">(A260-$A$2)/1000</f>
        <v>23.41</v>
      </c>
      <c r="D260">
        <v>-0.73</v>
      </c>
      <c r="E260">
        <v>0.04</v>
      </c>
      <c r="F260">
        <v>-0.7</v>
      </c>
      <c r="G260">
        <f t="shared" ref="G260:G293" si="38">ABS(D260-D259)</f>
        <v>0</v>
      </c>
      <c r="H260">
        <f t="shared" ref="H260:H301" si="39">ABS(E260-E259)</f>
        <v>1.0000000000000002E-2</v>
      </c>
      <c r="I260">
        <f t="shared" ref="I260:I301" si="40">ABS(F260-F259)</f>
        <v>1.0000000000000009E-2</v>
      </c>
      <c r="J260">
        <f>IF(ABS(D260-D259) &gt; $P$2, 1/2*(D260+D259)*9.81*B260 + J259, 0)</f>
        <v>0</v>
      </c>
      <c r="K260">
        <f>IF(ABS(E260-E259) &gt; $P$2, 1/2*(E260+E259)*9.81*B260 + K259, 0)</f>
        <v>0</v>
      </c>
      <c r="L260">
        <f>IF(ABS(F260-F259) &gt; $P$2, 1/2*(F260+F259)*9.81*B260 + L259, 0)</f>
        <v>0</v>
      </c>
      <c r="M260">
        <f t="shared" ref="M260:M301" si="41">1/2*(J260+J259)*B260 + M259</f>
        <v>0</v>
      </c>
      <c r="N260">
        <f t="shared" ref="N260:N301" si="42">1/2*(K260+K259)*B260 + N259</f>
        <v>0</v>
      </c>
      <c r="O260">
        <f t="shared" ref="O260:O301" si="43">1/2*(L260+L259)*B260 + O259</f>
        <v>-0.428647287825</v>
      </c>
      <c r="Q260">
        <v>75</v>
      </c>
      <c r="R260">
        <v>23.41</v>
      </c>
      <c r="S260">
        <f t="shared" ref="S260:S301" si="44">Q260-$Q$2</f>
        <v>42.91</v>
      </c>
      <c r="T260">
        <f>SQRT(O260*O260)*100</f>
        <v>42.864728782500002</v>
      </c>
    </row>
    <row r="261" spans="1:20" x14ac:dyDescent="0.3">
      <c r="A261">
        <v>9819703</v>
      </c>
      <c r="B261">
        <f t="shared" si="36"/>
        <v>0.09</v>
      </c>
      <c r="C261">
        <f t="shared" si="37"/>
        <v>23.5</v>
      </c>
      <c r="D261">
        <v>-0.72</v>
      </c>
      <c r="E261">
        <v>0.03</v>
      </c>
      <c r="F261">
        <v>-0.7</v>
      </c>
      <c r="G261">
        <f t="shared" si="38"/>
        <v>1.0000000000000009E-2</v>
      </c>
      <c r="H261">
        <f t="shared" si="39"/>
        <v>1.0000000000000002E-2</v>
      </c>
      <c r="I261">
        <f t="shared" si="40"/>
        <v>0</v>
      </c>
      <c r="J261">
        <f>IF(ABS(D261-D260) &gt; $P$2, 1/2*(D261+D260)*9.81*B261 + J260, 0)</f>
        <v>0</v>
      </c>
      <c r="K261">
        <f>IF(ABS(E261-E260) &gt; $P$2, 1/2*(E261+E260)*9.81*B261 + K260, 0)</f>
        <v>0</v>
      </c>
      <c r="L261">
        <f>IF(ABS(F261-F260) &gt; $P$2, 1/2*(F261+F260)*9.81*B261 + L260, 0)</f>
        <v>0</v>
      </c>
      <c r="M261">
        <f t="shared" si="41"/>
        <v>0</v>
      </c>
      <c r="N261">
        <f t="shared" si="42"/>
        <v>0</v>
      </c>
      <c r="O261">
        <f t="shared" si="43"/>
        <v>-0.428647287825</v>
      </c>
      <c r="Q261">
        <v>75</v>
      </c>
      <c r="R261">
        <v>23.5</v>
      </c>
      <c r="S261">
        <f t="shared" si="44"/>
        <v>42.91</v>
      </c>
      <c r="T261">
        <f>SQRT(O261*O261)*100</f>
        <v>42.864728782500002</v>
      </c>
    </row>
    <row r="262" spans="1:20" x14ac:dyDescent="0.3">
      <c r="A262">
        <v>9819794</v>
      </c>
      <c r="B262">
        <f t="shared" si="36"/>
        <v>9.0999999999999998E-2</v>
      </c>
      <c r="C262">
        <f t="shared" si="37"/>
        <v>23.591000000000001</v>
      </c>
      <c r="D262">
        <v>-0.73</v>
      </c>
      <c r="E262">
        <v>0.03</v>
      </c>
      <c r="F262">
        <v>-0.7</v>
      </c>
      <c r="G262">
        <f t="shared" si="38"/>
        <v>1.0000000000000009E-2</v>
      </c>
      <c r="H262">
        <f t="shared" si="39"/>
        <v>0</v>
      </c>
      <c r="I262">
        <f t="shared" si="40"/>
        <v>0</v>
      </c>
      <c r="J262">
        <f>IF(ABS(D262-D261) &gt; $P$2, 1/2*(D262+D261)*9.81*B262 + J261, 0)</f>
        <v>0</v>
      </c>
      <c r="K262">
        <f>IF(ABS(E262-E261) &gt; $P$2, 1/2*(E262+E261)*9.81*B262 + K261, 0)</f>
        <v>0</v>
      </c>
      <c r="L262">
        <f>IF(ABS(F262-F261) &gt; $P$2, 1/2*(F262+F261)*9.81*B262 + L261, 0)</f>
        <v>0</v>
      </c>
      <c r="M262">
        <f t="shared" si="41"/>
        <v>0</v>
      </c>
      <c r="N262">
        <f t="shared" si="42"/>
        <v>0</v>
      </c>
      <c r="O262">
        <f t="shared" si="43"/>
        <v>-0.428647287825</v>
      </c>
      <c r="Q262">
        <v>74.59</v>
      </c>
      <c r="R262">
        <v>23.591000000000001</v>
      </c>
      <c r="S262">
        <f t="shared" si="44"/>
        <v>42.5</v>
      </c>
      <c r="T262">
        <f>SQRT(O262*O262)*100</f>
        <v>42.864728782500002</v>
      </c>
    </row>
    <row r="263" spans="1:20" x14ac:dyDescent="0.3">
      <c r="A263">
        <v>9819884</v>
      </c>
      <c r="B263">
        <f t="shared" si="36"/>
        <v>0.09</v>
      </c>
      <c r="C263">
        <f t="shared" si="37"/>
        <v>23.681000000000001</v>
      </c>
      <c r="D263">
        <v>-0.73</v>
      </c>
      <c r="E263">
        <v>0.04</v>
      </c>
      <c r="F263">
        <v>-0.7</v>
      </c>
      <c r="G263">
        <f t="shared" si="38"/>
        <v>0</v>
      </c>
      <c r="H263">
        <f t="shared" si="39"/>
        <v>1.0000000000000002E-2</v>
      </c>
      <c r="I263">
        <f t="shared" si="40"/>
        <v>0</v>
      </c>
      <c r="J263">
        <f>IF(ABS(D263-D262) &gt; $P$2, 1/2*(D263+D262)*9.81*B263 + J262, 0)</f>
        <v>0</v>
      </c>
      <c r="K263">
        <f>IF(ABS(E263-E262) &gt; $P$2, 1/2*(E263+E262)*9.81*B263 + K262, 0)</f>
        <v>0</v>
      </c>
      <c r="L263">
        <f>IF(ABS(F263-F262) &gt; $P$2, 1/2*(F263+F262)*9.81*B263 + L262, 0)</f>
        <v>0</v>
      </c>
      <c r="M263">
        <f t="shared" si="41"/>
        <v>0</v>
      </c>
      <c r="N263">
        <f t="shared" si="42"/>
        <v>0</v>
      </c>
      <c r="O263">
        <f t="shared" si="43"/>
        <v>-0.428647287825</v>
      </c>
      <c r="Q263">
        <v>74.8</v>
      </c>
      <c r="R263">
        <v>23.681000000000001</v>
      </c>
      <c r="S263">
        <f t="shared" si="44"/>
        <v>42.709999999999994</v>
      </c>
      <c r="T263">
        <f>SQRT(O263*O263)*100</f>
        <v>42.864728782500002</v>
      </c>
    </row>
    <row r="264" spans="1:20" x14ac:dyDescent="0.3">
      <c r="A264">
        <v>9819975</v>
      </c>
      <c r="B264">
        <f t="shared" si="36"/>
        <v>9.0999999999999998E-2</v>
      </c>
      <c r="C264">
        <f t="shared" si="37"/>
        <v>23.771999999999998</v>
      </c>
      <c r="D264">
        <v>-0.73</v>
      </c>
      <c r="E264">
        <v>0.04</v>
      </c>
      <c r="F264">
        <v>-0.7</v>
      </c>
      <c r="G264">
        <f t="shared" si="38"/>
        <v>0</v>
      </c>
      <c r="H264">
        <f t="shared" si="39"/>
        <v>0</v>
      </c>
      <c r="I264">
        <f t="shared" si="40"/>
        <v>0</v>
      </c>
      <c r="J264">
        <f>IF(ABS(D264-D263) &gt; $P$2, 1/2*(D264+D263)*9.81*B264 + J263, 0)</f>
        <v>0</v>
      </c>
      <c r="K264">
        <f>IF(ABS(E264-E263) &gt; $P$2, 1/2*(E264+E263)*9.81*B264 + K263, 0)</f>
        <v>0</v>
      </c>
      <c r="L264">
        <f>IF(ABS(F264-F263) &gt; $P$2, 1/2*(F264+F263)*9.81*B264 + L263, 0)</f>
        <v>0</v>
      </c>
      <c r="M264">
        <f t="shared" si="41"/>
        <v>0</v>
      </c>
      <c r="N264">
        <f t="shared" si="42"/>
        <v>0</v>
      </c>
      <c r="O264">
        <f t="shared" si="43"/>
        <v>-0.428647287825</v>
      </c>
      <c r="Q264">
        <v>74.8</v>
      </c>
      <c r="R264">
        <v>23.771999999999998</v>
      </c>
      <c r="S264">
        <f t="shared" si="44"/>
        <v>42.709999999999994</v>
      </c>
      <c r="T264">
        <f>SQRT(O264*O264)*100</f>
        <v>42.864728782500002</v>
      </c>
    </row>
    <row r="265" spans="1:20" x14ac:dyDescent="0.3">
      <c r="A265">
        <v>9820066</v>
      </c>
      <c r="B265">
        <f t="shared" si="36"/>
        <v>9.0999999999999998E-2</v>
      </c>
      <c r="C265">
        <f t="shared" si="37"/>
        <v>23.863</v>
      </c>
      <c r="D265">
        <v>-0.73</v>
      </c>
      <c r="E265">
        <v>0.03</v>
      </c>
      <c r="F265">
        <v>-0.7</v>
      </c>
      <c r="G265">
        <f t="shared" si="38"/>
        <v>0</v>
      </c>
      <c r="H265">
        <f t="shared" si="39"/>
        <v>1.0000000000000002E-2</v>
      </c>
      <c r="I265">
        <f t="shared" si="40"/>
        <v>0</v>
      </c>
      <c r="J265">
        <f>IF(ABS(D265-D264) &gt; $P$2, 1/2*(D265+D264)*9.81*B265 + J264, 0)</f>
        <v>0</v>
      </c>
      <c r="K265">
        <f>IF(ABS(E265-E264) &gt; $P$2, 1/2*(E265+E264)*9.81*B265 + K264, 0)</f>
        <v>0</v>
      </c>
      <c r="L265">
        <f>IF(ABS(F265-F264) &gt; $P$2, 1/2*(F265+F264)*9.81*B265 + L264, 0)</f>
        <v>0</v>
      </c>
      <c r="M265">
        <f t="shared" si="41"/>
        <v>0</v>
      </c>
      <c r="N265">
        <f t="shared" si="42"/>
        <v>0</v>
      </c>
      <c r="O265">
        <f t="shared" si="43"/>
        <v>-0.428647287825</v>
      </c>
      <c r="Q265">
        <v>74.8</v>
      </c>
      <c r="R265">
        <v>23.863</v>
      </c>
      <c r="S265">
        <f t="shared" si="44"/>
        <v>42.709999999999994</v>
      </c>
      <c r="T265">
        <f>SQRT(O265*O265)*100</f>
        <v>42.864728782500002</v>
      </c>
    </row>
    <row r="266" spans="1:20" x14ac:dyDescent="0.3">
      <c r="A266">
        <v>9820156</v>
      </c>
      <c r="B266">
        <f t="shared" si="36"/>
        <v>0.09</v>
      </c>
      <c r="C266">
        <f t="shared" si="37"/>
        <v>23.952999999999999</v>
      </c>
      <c r="D266">
        <v>-0.73</v>
      </c>
      <c r="E266">
        <v>0.03</v>
      </c>
      <c r="F266">
        <v>-0.69</v>
      </c>
      <c r="G266">
        <f t="shared" si="38"/>
        <v>0</v>
      </c>
      <c r="H266">
        <f t="shared" si="39"/>
        <v>0</v>
      </c>
      <c r="I266">
        <f t="shared" si="40"/>
        <v>1.0000000000000009E-2</v>
      </c>
      <c r="J266">
        <f>IF(ABS(D266-D265) &gt; $P$2, 1/2*(D266+D265)*9.81*B266 + J265, 0)</f>
        <v>0</v>
      </c>
      <c r="K266">
        <f>IF(ABS(E266-E265) &gt; $P$2, 1/2*(E266+E265)*9.81*B266 + K265, 0)</f>
        <v>0</v>
      </c>
      <c r="L266">
        <f>IF(ABS(F266-F265) &gt; $P$2, 1/2*(F266+F265)*9.81*B266 + L265, 0)</f>
        <v>0</v>
      </c>
      <c r="M266">
        <f t="shared" si="41"/>
        <v>0</v>
      </c>
      <c r="N266">
        <f t="shared" si="42"/>
        <v>0</v>
      </c>
      <c r="O266">
        <f t="shared" si="43"/>
        <v>-0.428647287825</v>
      </c>
      <c r="Q266">
        <v>74.8</v>
      </c>
      <c r="R266">
        <v>23.952999999999999</v>
      </c>
      <c r="S266">
        <f t="shared" si="44"/>
        <v>42.709999999999994</v>
      </c>
      <c r="T266">
        <f>SQRT(O266*O266)*100</f>
        <v>42.864728782500002</v>
      </c>
    </row>
    <row r="267" spans="1:20" x14ac:dyDescent="0.3">
      <c r="A267">
        <v>9820248</v>
      </c>
      <c r="B267">
        <f t="shared" si="36"/>
        <v>9.1999999999999998E-2</v>
      </c>
      <c r="C267">
        <f t="shared" si="37"/>
        <v>24.045000000000002</v>
      </c>
      <c r="D267">
        <v>-0.74</v>
      </c>
      <c r="E267">
        <v>0.04</v>
      </c>
      <c r="F267">
        <v>-0.69</v>
      </c>
      <c r="G267">
        <f t="shared" si="38"/>
        <v>1.0000000000000009E-2</v>
      </c>
      <c r="H267">
        <f t="shared" si="39"/>
        <v>1.0000000000000002E-2</v>
      </c>
      <c r="I267">
        <f t="shared" si="40"/>
        <v>0</v>
      </c>
      <c r="J267">
        <f>IF(ABS(D267-D266) &gt; $P$2, 1/2*(D267+D266)*9.81*B267 + J266, 0)</f>
        <v>0</v>
      </c>
      <c r="K267">
        <f>IF(ABS(E267-E266) &gt; $P$2, 1/2*(E267+E266)*9.81*B267 + K266, 0)</f>
        <v>0</v>
      </c>
      <c r="L267">
        <f>IF(ABS(F267-F266) &gt; $P$2, 1/2*(F267+F266)*9.81*B267 + L266, 0)</f>
        <v>0</v>
      </c>
      <c r="M267">
        <f t="shared" si="41"/>
        <v>0</v>
      </c>
      <c r="N267">
        <f t="shared" si="42"/>
        <v>0</v>
      </c>
      <c r="O267">
        <f t="shared" si="43"/>
        <v>-0.428647287825</v>
      </c>
      <c r="Q267">
        <v>74.59</v>
      </c>
      <c r="R267">
        <v>24.045000000000002</v>
      </c>
      <c r="S267">
        <f t="shared" si="44"/>
        <v>42.5</v>
      </c>
      <c r="T267">
        <f>SQRT(O267*O267)*100</f>
        <v>42.864728782500002</v>
      </c>
    </row>
    <row r="268" spans="1:20" x14ac:dyDescent="0.3">
      <c r="A268">
        <v>9820339</v>
      </c>
      <c r="B268">
        <f t="shared" si="36"/>
        <v>9.0999999999999998E-2</v>
      </c>
      <c r="C268">
        <f t="shared" si="37"/>
        <v>24.135999999999999</v>
      </c>
      <c r="D268">
        <v>-0.73</v>
      </c>
      <c r="E268">
        <v>0.04</v>
      </c>
      <c r="F268">
        <v>-0.7</v>
      </c>
      <c r="G268">
        <f t="shared" si="38"/>
        <v>1.0000000000000009E-2</v>
      </c>
      <c r="H268">
        <f t="shared" si="39"/>
        <v>0</v>
      </c>
      <c r="I268">
        <f t="shared" si="40"/>
        <v>1.0000000000000009E-2</v>
      </c>
      <c r="J268">
        <f>IF(ABS(D268-D267) &gt; $P$2, 1/2*(D268+D267)*9.81*B268 + J267, 0)</f>
        <v>0</v>
      </c>
      <c r="K268">
        <f>IF(ABS(E268-E267) &gt; $P$2, 1/2*(E268+E267)*9.81*B268 + K267, 0)</f>
        <v>0</v>
      </c>
      <c r="L268">
        <f>IF(ABS(F268-F267) &gt; $P$2, 1/2*(F268+F267)*9.81*B268 + L267, 0)</f>
        <v>0</v>
      </c>
      <c r="M268">
        <f t="shared" si="41"/>
        <v>0</v>
      </c>
      <c r="N268">
        <f t="shared" si="42"/>
        <v>0</v>
      </c>
      <c r="O268">
        <f t="shared" si="43"/>
        <v>-0.428647287825</v>
      </c>
      <c r="Q268">
        <v>74.8</v>
      </c>
      <c r="R268">
        <v>24.135999999999999</v>
      </c>
      <c r="S268">
        <f t="shared" si="44"/>
        <v>42.709999999999994</v>
      </c>
      <c r="T268">
        <f>SQRT(O268*O268)*100</f>
        <v>42.864728782500002</v>
      </c>
    </row>
    <row r="269" spans="1:20" x14ac:dyDescent="0.3">
      <c r="A269">
        <v>9820429</v>
      </c>
      <c r="B269">
        <f t="shared" si="36"/>
        <v>0.09</v>
      </c>
      <c r="C269">
        <f t="shared" si="37"/>
        <v>24.225999999999999</v>
      </c>
      <c r="D269">
        <v>-0.73</v>
      </c>
      <c r="E269">
        <v>0.03</v>
      </c>
      <c r="F269">
        <v>-0.69</v>
      </c>
      <c r="G269">
        <f t="shared" si="38"/>
        <v>0</v>
      </c>
      <c r="H269">
        <f t="shared" si="39"/>
        <v>1.0000000000000002E-2</v>
      </c>
      <c r="I269">
        <f t="shared" si="40"/>
        <v>1.0000000000000009E-2</v>
      </c>
      <c r="J269">
        <f>IF(ABS(D269-D268) &gt; $P$2, 1/2*(D269+D268)*9.81*B269 + J268, 0)</f>
        <v>0</v>
      </c>
      <c r="K269">
        <f>IF(ABS(E269-E268) &gt; $P$2, 1/2*(E269+E268)*9.81*B269 + K268, 0)</f>
        <v>0</v>
      </c>
      <c r="L269">
        <f>IF(ABS(F269-F268) &gt; $P$2, 1/2*(F269+F268)*9.81*B269 + L268, 0)</f>
        <v>0</v>
      </c>
      <c r="M269">
        <f t="shared" si="41"/>
        <v>0</v>
      </c>
      <c r="N269">
        <f t="shared" si="42"/>
        <v>0</v>
      </c>
      <c r="O269">
        <f t="shared" si="43"/>
        <v>-0.428647287825</v>
      </c>
      <c r="Q269">
        <v>74.8</v>
      </c>
      <c r="R269">
        <v>24.225999999999999</v>
      </c>
      <c r="S269">
        <f t="shared" si="44"/>
        <v>42.709999999999994</v>
      </c>
      <c r="T269">
        <f>SQRT(O269*O269)*100</f>
        <v>42.864728782500002</v>
      </c>
    </row>
    <row r="270" spans="1:20" x14ac:dyDescent="0.3">
      <c r="A270">
        <v>9820520</v>
      </c>
      <c r="B270">
        <f t="shared" si="36"/>
        <v>9.0999999999999998E-2</v>
      </c>
      <c r="C270">
        <f t="shared" si="37"/>
        <v>24.317</v>
      </c>
      <c r="D270">
        <v>-0.73</v>
      </c>
      <c r="E270">
        <v>0.03</v>
      </c>
      <c r="F270">
        <v>-0.7</v>
      </c>
      <c r="G270">
        <f t="shared" si="38"/>
        <v>0</v>
      </c>
      <c r="H270">
        <f t="shared" si="39"/>
        <v>0</v>
      </c>
      <c r="I270">
        <f t="shared" si="40"/>
        <v>1.0000000000000009E-2</v>
      </c>
      <c r="J270">
        <f>IF(ABS(D270-D269) &gt; $P$2, 1/2*(D270+D269)*9.81*B270 + J269, 0)</f>
        <v>0</v>
      </c>
      <c r="K270">
        <f>IF(ABS(E270-E269) &gt; $P$2, 1/2*(E270+E269)*9.81*B270 + K269, 0)</f>
        <v>0</v>
      </c>
      <c r="L270">
        <f>IF(ABS(F270-F269) &gt; $P$2, 1/2*(F270+F269)*9.81*B270 + L269, 0)</f>
        <v>0</v>
      </c>
      <c r="M270">
        <f t="shared" si="41"/>
        <v>0</v>
      </c>
      <c r="N270">
        <f t="shared" si="42"/>
        <v>0</v>
      </c>
      <c r="O270">
        <f t="shared" si="43"/>
        <v>-0.428647287825</v>
      </c>
      <c r="Q270">
        <v>74.8</v>
      </c>
      <c r="R270">
        <v>24.317</v>
      </c>
      <c r="S270">
        <f t="shared" si="44"/>
        <v>42.709999999999994</v>
      </c>
      <c r="T270">
        <f>SQRT(O270*O270)*100</f>
        <v>42.864728782500002</v>
      </c>
    </row>
    <row r="271" spans="1:20" x14ac:dyDescent="0.3">
      <c r="A271">
        <v>9820610</v>
      </c>
      <c r="B271">
        <f t="shared" si="36"/>
        <v>0.09</v>
      </c>
      <c r="C271">
        <f t="shared" si="37"/>
        <v>24.407</v>
      </c>
      <c r="D271">
        <v>-0.73</v>
      </c>
      <c r="E271">
        <v>0.03</v>
      </c>
      <c r="F271">
        <v>-0.69</v>
      </c>
      <c r="G271">
        <f t="shared" si="38"/>
        <v>0</v>
      </c>
      <c r="H271">
        <f t="shared" si="39"/>
        <v>0</v>
      </c>
      <c r="I271">
        <f t="shared" si="40"/>
        <v>1.0000000000000009E-2</v>
      </c>
      <c r="J271">
        <f>IF(ABS(D271-D270) &gt; $P$2, 1/2*(D271+D270)*9.81*B271 + J270, 0)</f>
        <v>0</v>
      </c>
      <c r="K271">
        <f>IF(ABS(E271-E270) &gt; $P$2, 1/2*(E271+E270)*9.81*B271 + K270, 0)</f>
        <v>0</v>
      </c>
      <c r="L271">
        <f>IF(ABS(F271-F270) &gt; $P$2, 1/2*(F271+F270)*9.81*B271 + L270, 0)</f>
        <v>0</v>
      </c>
      <c r="M271">
        <f t="shared" si="41"/>
        <v>0</v>
      </c>
      <c r="N271">
        <f t="shared" si="42"/>
        <v>0</v>
      </c>
      <c r="O271">
        <f t="shared" si="43"/>
        <v>-0.428647287825</v>
      </c>
      <c r="Q271">
        <v>74.8</v>
      </c>
      <c r="R271">
        <v>24.407</v>
      </c>
      <c r="S271">
        <f t="shared" si="44"/>
        <v>42.709999999999994</v>
      </c>
      <c r="T271">
        <f>SQRT(O271*O271)*100</f>
        <v>42.864728782500002</v>
      </c>
    </row>
    <row r="272" spans="1:20" x14ac:dyDescent="0.3">
      <c r="A272">
        <v>9820701</v>
      </c>
      <c r="B272">
        <f t="shared" si="36"/>
        <v>9.0999999999999998E-2</v>
      </c>
      <c r="C272">
        <f t="shared" si="37"/>
        <v>24.498000000000001</v>
      </c>
      <c r="D272">
        <v>-0.73</v>
      </c>
      <c r="E272">
        <v>0.03</v>
      </c>
      <c r="F272">
        <v>-0.7</v>
      </c>
      <c r="G272">
        <f t="shared" si="38"/>
        <v>0</v>
      </c>
      <c r="H272">
        <f t="shared" si="39"/>
        <v>0</v>
      </c>
      <c r="I272">
        <f t="shared" si="40"/>
        <v>1.0000000000000009E-2</v>
      </c>
      <c r="J272">
        <f>IF(ABS(D272-D271) &gt; $P$2, 1/2*(D272+D271)*9.81*B272 + J271, 0)</f>
        <v>0</v>
      </c>
      <c r="K272">
        <f>IF(ABS(E272-E271) &gt; $P$2, 1/2*(E272+E271)*9.81*B272 + K271, 0)</f>
        <v>0</v>
      </c>
      <c r="L272">
        <f>IF(ABS(F272-F271) &gt; $P$2, 1/2*(F272+F271)*9.81*B272 + L271, 0)</f>
        <v>0</v>
      </c>
      <c r="M272">
        <f t="shared" si="41"/>
        <v>0</v>
      </c>
      <c r="N272">
        <f t="shared" si="42"/>
        <v>0</v>
      </c>
      <c r="O272">
        <f t="shared" si="43"/>
        <v>-0.428647287825</v>
      </c>
      <c r="Q272">
        <v>74.59</v>
      </c>
      <c r="R272">
        <v>24.498000000000001</v>
      </c>
      <c r="S272">
        <f t="shared" si="44"/>
        <v>42.5</v>
      </c>
      <c r="T272">
        <f>SQRT(O272*O272)*100</f>
        <v>42.864728782500002</v>
      </c>
    </row>
    <row r="273" spans="1:20" x14ac:dyDescent="0.3">
      <c r="A273">
        <v>9820792</v>
      </c>
      <c r="B273">
        <f t="shared" si="36"/>
        <v>9.0999999999999998E-2</v>
      </c>
      <c r="C273">
        <f t="shared" si="37"/>
        <v>24.588999999999999</v>
      </c>
      <c r="D273">
        <v>-0.73</v>
      </c>
      <c r="E273">
        <v>0.04</v>
      </c>
      <c r="F273">
        <v>-0.7</v>
      </c>
      <c r="G273">
        <f t="shared" si="38"/>
        <v>0</v>
      </c>
      <c r="H273">
        <f t="shared" si="39"/>
        <v>1.0000000000000002E-2</v>
      </c>
      <c r="I273">
        <f t="shared" si="40"/>
        <v>0</v>
      </c>
      <c r="J273">
        <f>IF(ABS(D273-D272) &gt; $P$2, 1/2*(D273+D272)*9.81*B273 + J272, 0)</f>
        <v>0</v>
      </c>
      <c r="K273">
        <f>IF(ABS(E273-E272) &gt; $P$2, 1/2*(E273+E272)*9.81*B273 + K272, 0)</f>
        <v>0</v>
      </c>
      <c r="L273">
        <f>IF(ABS(F273-F272) &gt; $P$2, 1/2*(F273+F272)*9.81*B273 + L272, 0)</f>
        <v>0</v>
      </c>
      <c r="M273">
        <f t="shared" si="41"/>
        <v>0</v>
      </c>
      <c r="N273">
        <f t="shared" si="42"/>
        <v>0</v>
      </c>
      <c r="O273">
        <f t="shared" si="43"/>
        <v>-0.428647287825</v>
      </c>
      <c r="Q273">
        <v>74.59</v>
      </c>
      <c r="R273">
        <v>24.588999999999999</v>
      </c>
      <c r="S273">
        <f t="shared" si="44"/>
        <v>42.5</v>
      </c>
      <c r="T273">
        <f>SQRT(O273*O273)*100</f>
        <v>42.864728782500002</v>
      </c>
    </row>
    <row r="274" spans="1:20" x14ac:dyDescent="0.3">
      <c r="A274">
        <v>9820882</v>
      </c>
      <c r="B274">
        <f t="shared" si="36"/>
        <v>0.09</v>
      </c>
      <c r="C274">
        <f t="shared" si="37"/>
        <v>24.678999999999998</v>
      </c>
      <c r="D274">
        <v>-0.73</v>
      </c>
      <c r="E274">
        <v>0.03</v>
      </c>
      <c r="F274">
        <v>-0.7</v>
      </c>
      <c r="G274">
        <f t="shared" si="38"/>
        <v>0</v>
      </c>
      <c r="H274">
        <f t="shared" si="39"/>
        <v>1.0000000000000002E-2</v>
      </c>
      <c r="I274">
        <f t="shared" si="40"/>
        <v>0</v>
      </c>
      <c r="J274">
        <f>IF(ABS(D274-D273) &gt; $P$2, 1/2*(D274+D273)*9.81*B274 + J273, 0)</f>
        <v>0</v>
      </c>
      <c r="K274">
        <f>IF(ABS(E274-E273) &gt; $P$2, 1/2*(E274+E273)*9.81*B274 + K273, 0)</f>
        <v>0</v>
      </c>
      <c r="L274">
        <f>IF(ABS(F274-F273) &gt; $P$2, 1/2*(F274+F273)*9.81*B274 + L273, 0)</f>
        <v>0</v>
      </c>
      <c r="M274">
        <f t="shared" si="41"/>
        <v>0</v>
      </c>
      <c r="N274">
        <f t="shared" si="42"/>
        <v>0</v>
      </c>
      <c r="O274">
        <f t="shared" si="43"/>
        <v>-0.428647287825</v>
      </c>
      <c r="Q274">
        <v>74.59</v>
      </c>
      <c r="R274">
        <v>24.678999999999998</v>
      </c>
      <c r="S274">
        <f t="shared" si="44"/>
        <v>42.5</v>
      </c>
      <c r="T274">
        <f>SQRT(O274*O274)*100</f>
        <v>42.864728782500002</v>
      </c>
    </row>
    <row r="275" spans="1:20" x14ac:dyDescent="0.3">
      <c r="A275">
        <v>9820974</v>
      </c>
      <c r="B275">
        <f t="shared" si="36"/>
        <v>9.1999999999999998E-2</v>
      </c>
      <c r="C275">
        <f t="shared" si="37"/>
        <v>24.771000000000001</v>
      </c>
      <c r="D275">
        <v>-0.73</v>
      </c>
      <c r="E275">
        <v>0.03</v>
      </c>
      <c r="F275">
        <v>-0.7</v>
      </c>
      <c r="G275">
        <f t="shared" si="38"/>
        <v>0</v>
      </c>
      <c r="H275">
        <f t="shared" si="39"/>
        <v>0</v>
      </c>
      <c r="I275">
        <f t="shared" si="40"/>
        <v>0</v>
      </c>
      <c r="J275">
        <f>IF(ABS(D275-D274) &gt; $P$2, 1/2*(D275+D274)*9.81*B275 + J274, 0)</f>
        <v>0</v>
      </c>
      <c r="K275">
        <f>IF(ABS(E275-E274) &gt; $P$2, 1/2*(E275+E274)*9.81*B275 + K274, 0)</f>
        <v>0</v>
      </c>
      <c r="L275">
        <f>IF(ABS(F275-F274) &gt; $P$2, 1/2*(F275+F274)*9.81*B275 + L274, 0)</f>
        <v>0</v>
      </c>
      <c r="M275">
        <f t="shared" si="41"/>
        <v>0</v>
      </c>
      <c r="N275">
        <f t="shared" si="42"/>
        <v>0</v>
      </c>
      <c r="O275">
        <f t="shared" si="43"/>
        <v>-0.428647287825</v>
      </c>
      <c r="Q275">
        <v>74.8</v>
      </c>
      <c r="R275">
        <v>24.771000000000001</v>
      </c>
      <c r="S275">
        <f t="shared" si="44"/>
        <v>42.709999999999994</v>
      </c>
      <c r="T275">
        <f>SQRT(O275*O275)*100</f>
        <v>42.864728782500002</v>
      </c>
    </row>
    <row r="276" spans="1:20" x14ac:dyDescent="0.3">
      <c r="A276">
        <v>9821064</v>
      </c>
      <c r="B276">
        <f t="shared" si="36"/>
        <v>0.09</v>
      </c>
      <c r="C276">
        <f t="shared" si="37"/>
        <v>24.861000000000001</v>
      </c>
      <c r="D276">
        <v>-0.73</v>
      </c>
      <c r="E276">
        <v>0.03</v>
      </c>
      <c r="F276">
        <v>-0.7</v>
      </c>
      <c r="G276">
        <f t="shared" si="38"/>
        <v>0</v>
      </c>
      <c r="H276">
        <f t="shared" si="39"/>
        <v>0</v>
      </c>
      <c r="I276">
        <f t="shared" si="40"/>
        <v>0</v>
      </c>
      <c r="J276">
        <f>IF(ABS(D276-D275) &gt; $P$2, 1/2*(D276+D275)*9.81*B276 + J275, 0)</f>
        <v>0</v>
      </c>
      <c r="K276">
        <f>IF(ABS(E276-E275) &gt; $P$2, 1/2*(E276+E275)*9.81*B276 + K275, 0)</f>
        <v>0</v>
      </c>
      <c r="L276">
        <f>IF(ABS(F276-F275) &gt; $P$2, 1/2*(F276+F275)*9.81*B276 + L275, 0)</f>
        <v>0</v>
      </c>
      <c r="M276">
        <f t="shared" si="41"/>
        <v>0</v>
      </c>
      <c r="N276">
        <f t="shared" si="42"/>
        <v>0</v>
      </c>
      <c r="O276">
        <f t="shared" si="43"/>
        <v>-0.428647287825</v>
      </c>
      <c r="Q276">
        <v>75</v>
      </c>
      <c r="R276">
        <v>24.861000000000001</v>
      </c>
      <c r="S276">
        <f t="shared" si="44"/>
        <v>42.91</v>
      </c>
      <c r="T276">
        <f>SQRT(O276*O276)*100</f>
        <v>42.864728782500002</v>
      </c>
    </row>
    <row r="277" spans="1:20" x14ac:dyDescent="0.3">
      <c r="A277">
        <v>9821155</v>
      </c>
      <c r="B277">
        <f t="shared" si="36"/>
        <v>9.0999999999999998E-2</v>
      </c>
      <c r="C277">
        <f t="shared" si="37"/>
        <v>24.952000000000002</v>
      </c>
      <c r="D277">
        <v>-0.73</v>
      </c>
      <c r="E277">
        <v>0.03</v>
      </c>
      <c r="F277">
        <v>-0.7</v>
      </c>
      <c r="G277">
        <f t="shared" si="38"/>
        <v>0</v>
      </c>
      <c r="H277">
        <f t="shared" si="39"/>
        <v>0</v>
      </c>
      <c r="I277">
        <f t="shared" si="40"/>
        <v>0</v>
      </c>
      <c r="J277">
        <f>IF(ABS(D277-D276) &gt; $P$2, 1/2*(D277+D276)*9.81*B277 + J276, 0)</f>
        <v>0</v>
      </c>
      <c r="K277">
        <f>IF(ABS(E277-E276) &gt; $P$2, 1/2*(E277+E276)*9.81*B277 + K276, 0)</f>
        <v>0</v>
      </c>
      <c r="L277">
        <f>IF(ABS(F277-F276) &gt; $P$2, 1/2*(F277+F276)*9.81*B277 + L276, 0)</f>
        <v>0</v>
      </c>
      <c r="M277">
        <f t="shared" si="41"/>
        <v>0</v>
      </c>
      <c r="N277">
        <f t="shared" si="42"/>
        <v>0</v>
      </c>
      <c r="O277">
        <f t="shared" si="43"/>
        <v>-0.428647287825</v>
      </c>
      <c r="Q277">
        <v>74.8</v>
      </c>
      <c r="R277">
        <v>24.952000000000002</v>
      </c>
      <c r="S277">
        <f t="shared" si="44"/>
        <v>42.709999999999994</v>
      </c>
      <c r="T277">
        <f>SQRT(O277*O277)*100</f>
        <v>42.864728782500002</v>
      </c>
    </row>
    <row r="278" spans="1:20" x14ac:dyDescent="0.3">
      <c r="A278">
        <v>9821246</v>
      </c>
      <c r="B278">
        <f t="shared" si="36"/>
        <v>9.0999999999999998E-2</v>
      </c>
      <c r="C278">
        <f t="shared" si="37"/>
        <v>25.042999999999999</v>
      </c>
      <c r="D278">
        <v>-0.72</v>
      </c>
      <c r="E278">
        <v>0.03</v>
      </c>
      <c r="F278">
        <v>-0.7</v>
      </c>
      <c r="G278">
        <f t="shared" si="38"/>
        <v>1.0000000000000009E-2</v>
      </c>
      <c r="H278">
        <f t="shared" si="39"/>
        <v>0</v>
      </c>
      <c r="I278">
        <f t="shared" si="40"/>
        <v>0</v>
      </c>
      <c r="J278">
        <f>IF(ABS(D278-D277) &gt; $P$2, 1/2*(D278+D277)*9.81*B278 + J277, 0)</f>
        <v>0</v>
      </c>
      <c r="K278">
        <f>IF(ABS(E278-E277) &gt; $P$2, 1/2*(E278+E277)*9.81*B278 + K277, 0)</f>
        <v>0</v>
      </c>
      <c r="L278">
        <f>IF(ABS(F278-F277) &gt; $P$2, 1/2*(F278+F277)*9.81*B278 + L277, 0)</f>
        <v>0</v>
      </c>
      <c r="M278">
        <f t="shared" si="41"/>
        <v>0</v>
      </c>
      <c r="N278">
        <f t="shared" si="42"/>
        <v>0</v>
      </c>
      <c r="O278">
        <f t="shared" si="43"/>
        <v>-0.428647287825</v>
      </c>
      <c r="Q278">
        <v>74.8</v>
      </c>
      <c r="R278">
        <v>25.042999999999999</v>
      </c>
      <c r="S278">
        <f t="shared" si="44"/>
        <v>42.709999999999994</v>
      </c>
      <c r="T278">
        <f>SQRT(O278*O278)*100</f>
        <v>42.864728782500002</v>
      </c>
    </row>
    <row r="279" spans="1:20" x14ac:dyDescent="0.3">
      <c r="A279">
        <v>9821336</v>
      </c>
      <c r="B279">
        <f t="shared" si="36"/>
        <v>0.09</v>
      </c>
      <c r="C279">
        <f t="shared" si="37"/>
        <v>25.132999999999999</v>
      </c>
      <c r="D279">
        <v>-0.73</v>
      </c>
      <c r="E279">
        <v>0.03</v>
      </c>
      <c r="F279">
        <v>-0.7</v>
      </c>
      <c r="G279">
        <f t="shared" si="38"/>
        <v>1.0000000000000009E-2</v>
      </c>
      <c r="H279">
        <f t="shared" si="39"/>
        <v>0</v>
      </c>
      <c r="I279">
        <f t="shared" si="40"/>
        <v>0</v>
      </c>
      <c r="J279">
        <f>IF(ABS(D279-D278) &gt; $P$2, 1/2*(D279+D278)*9.81*B279 + J278, 0)</f>
        <v>0</v>
      </c>
      <c r="K279">
        <f>IF(ABS(E279-E278) &gt; $P$2, 1/2*(E279+E278)*9.81*B279 + K278, 0)</f>
        <v>0</v>
      </c>
      <c r="L279">
        <f>IF(ABS(F279-F278) &gt; $P$2, 1/2*(F279+F278)*9.81*B279 + L278, 0)</f>
        <v>0</v>
      </c>
      <c r="M279">
        <f t="shared" si="41"/>
        <v>0</v>
      </c>
      <c r="N279">
        <f t="shared" si="42"/>
        <v>0</v>
      </c>
      <c r="O279">
        <f t="shared" si="43"/>
        <v>-0.428647287825</v>
      </c>
      <c r="Q279">
        <v>74.8</v>
      </c>
      <c r="R279">
        <v>25.132999999999999</v>
      </c>
      <c r="S279">
        <f t="shared" si="44"/>
        <v>42.709999999999994</v>
      </c>
      <c r="T279">
        <f>SQRT(O279*O279)*100</f>
        <v>42.864728782500002</v>
      </c>
    </row>
    <row r="280" spans="1:20" x14ac:dyDescent="0.3">
      <c r="A280">
        <v>9821427</v>
      </c>
      <c r="B280">
        <f t="shared" si="36"/>
        <v>9.0999999999999998E-2</v>
      </c>
      <c r="C280">
        <f t="shared" si="37"/>
        <v>25.224</v>
      </c>
      <c r="D280">
        <v>-0.73</v>
      </c>
      <c r="E280">
        <v>0.03</v>
      </c>
      <c r="F280">
        <v>-0.7</v>
      </c>
      <c r="G280">
        <f t="shared" si="38"/>
        <v>0</v>
      </c>
      <c r="H280">
        <f t="shared" si="39"/>
        <v>0</v>
      </c>
      <c r="I280">
        <f t="shared" si="40"/>
        <v>0</v>
      </c>
      <c r="J280">
        <f>IF(ABS(D280-D279) &gt; $P$2, 1/2*(D280+D279)*9.81*B280 + J279, 0)</f>
        <v>0</v>
      </c>
      <c r="K280">
        <f>IF(ABS(E280-E279) &gt; $P$2, 1/2*(E280+E279)*9.81*B280 + K279, 0)</f>
        <v>0</v>
      </c>
      <c r="L280">
        <f>IF(ABS(F280-F279) &gt; $P$2, 1/2*(F280+F279)*9.81*B280 + L279, 0)</f>
        <v>0</v>
      </c>
      <c r="M280">
        <f t="shared" si="41"/>
        <v>0</v>
      </c>
      <c r="N280">
        <f t="shared" si="42"/>
        <v>0</v>
      </c>
      <c r="O280">
        <f t="shared" si="43"/>
        <v>-0.428647287825</v>
      </c>
      <c r="Q280">
        <v>74.59</v>
      </c>
      <c r="R280">
        <v>25.224</v>
      </c>
      <c r="S280">
        <f t="shared" si="44"/>
        <v>42.5</v>
      </c>
      <c r="T280">
        <f>SQRT(O280*O280)*100</f>
        <v>42.864728782500002</v>
      </c>
    </row>
    <row r="281" spans="1:20" x14ac:dyDescent="0.3">
      <c r="A281">
        <v>9821517</v>
      </c>
      <c r="B281">
        <f t="shared" si="36"/>
        <v>0.09</v>
      </c>
      <c r="C281">
        <f t="shared" si="37"/>
        <v>25.314</v>
      </c>
      <c r="D281">
        <v>-0.73</v>
      </c>
      <c r="E281">
        <v>0.03</v>
      </c>
      <c r="F281">
        <v>-0.7</v>
      </c>
      <c r="G281">
        <f t="shared" si="38"/>
        <v>0</v>
      </c>
      <c r="H281">
        <f t="shared" si="39"/>
        <v>0</v>
      </c>
      <c r="I281">
        <f t="shared" si="40"/>
        <v>0</v>
      </c>
      <c r="J281">
        <f>IF(ABS(D281-D280) &gt; $P$2, 1/2*(D281+D280)*9.81*B281 + J280, 0)</f>
        <v>0</v>
      </c>
      <c r="K281">
        <f>IF(ABS(E281-E280) &gt; $P$2, 1/2*(E281+E280)*9.81*B281 + K280, 0)</f>
        <v>0</v>
      </c>
      <c r="L281">
        <f>IF(ABS(F281-F280) &gt; $P$2, 1/2*(F281+F280)*9.81*B281 + L280, 0)</f>
        <v>0</v>
      </c>
      <c r="M281">
        <f t="shared" si="41"/>
        <v>0</v>
      </c>
      <c r="N281">
        <f t="shared" si="42"/>
        <v>0</v>
      </c>
      <c r="O281">
        <f t="shared" si="43"/>
        <v>-0.428647287825</v>
      </c>
      <c r="Q281">
        <v>74.8</v>
      </c>
      <c r="R281">
        <v>25.314</v>
      </c>
      <c r="S281">
        <f t="shared" si="44"/>
        <v>42.709999999999994</v>
      </c>
      <c r="T281">
        <f>SQRT(O281*O281)*100</f>
        <v>42.864728782500002</v>
      </c>
    </row>
    <row r="282" spans="1:20" x14ac:dyDescent="0.3">
      <c r="A282">
        <v>9821608</v>
      </c>
      <c r="B282">
        <f t="shared" si="36"/>
        <v>9.0999999999999998E-2</v>
      </c>
      <c r="C282">
        <f t="shared" si="37"/>
        <v>25.405000000000001</v>
      </c>
      <c r="D282">
        <v>-0.73</v>
      </c>
      <c r="E282">
        <v>0.03</v>
      </c>
      <c r="F282">
        <v>-0.69</v>
      </c>
      <c r="G282">
        <f t="shared" si="38"/>
        <v>0</v>
      </c>
      <c r="H282">
        <f t="shared" si="39"/>
        <v>0</v>
      </c>
      <c r="I282">
        <f t="shared" si="40"/>
        <v>1.0000000000000009E-2</v>
      </c>
      <c r="J282">
        <f>IF(ABS(D282-D281) &gt; $P$2, 1/2*(D282+D281)*9.81*B282 + J281, 0)</f>
        <v>0</v>
      </c>
      <c r="K282">
        <f>IF(ABS(E282-E281) &gt; $P$2, 1/2*(E282+E281)*9.81*B282 + K281, 0)</f>
        <v>0</v>
      </c>
      <c r="L282">
        <f>IF(ABS(F282-F281) &gt; $P$2, 1/2*(F282+F281)*9.81*B282 + L281, 0)</f>
        <v>0</v>
      </c>
      <c r="M282">
        <f t="shared" si="41"/>
        <v>0</v>
      </c>
      <c r="N282">
        <f t="shared" si="42"/>
        <v>0</v>
      </c>
      <c r="O282">
        <f t="shared" si="43"/>
        <v>-0.428647287825</v>
      </c>
      <c r="Q282">
        <v>74.8</v>
      </c>
      <c r="R282">
        <v>25.405000000000001</v>
      </c>
      <c r="S282">
        <f t="shared" si="44"/>
        <v>42.709999999999994</v>
      </c>
      <c r="T282">
        <f>SQRT(O282*O282)*100</f>
        <v>42.864728782500002</v>
      </c>
    </row>
    <row r="283" spans="1:20" x14ac:dyDescent="0.3">
      <c r="A283">
        <v>9821700</v>
      </c>
      <c r="B283">
        <f t="shared" si="36"/>
        <v>9.1999999999999998E-2</v>
      </c>
      <c r="C283">
        <f t="shared" si="37"/>
        <v>25.497</v>
      </c>
      <c r="D283">
        <v>-0.73</v>
      </c>
      <c r="E283">
        <v>0.04</v>
      </c>
      <c r="F283">
        <v>-0.69</v>
      </c>
      <c r="G283">
        <f t="shared" si="38"/>
        <v>0</v>
      </c>
      <c r="H283">
        <f t="shared" si="39"/>
        <v>1.0000000000000002E-2</v>
      </c>
      <c r="I283">
        <f t="shared" si="40"/>
        <v>0</v>
      </c>
      <c r="J283">
        <f>IF(ABS(D283-D282) &gt; $P$2, 1/2*(D283+D282)*9.81*B283 + J282, 0)</f>
        <v>0</v>
      </c>
      <c r="K283">
        <f>IF(ABS(E283-E282) &gt; $P$2, 1/2*(E283+E282)*9.81*B283 + K282, 0)</f>
        <v>0</v>
      </c>
      <c r="L283">
        <f>IF(ABS(F283-F282) &gt; $P$2, 1/2*(F283+F282)*9.81*B283 + L282, 0)</f>
        <v>0</v>
      </c>
      <c r="M283">
        <f t="shared" si="41"/>
        <v>0</v>
      </c>
      <c r="N283">
        <f t="shared" si="42"/>
        <v>0</v>
      </c>
      <c r="O283">
        <f t="shared" si="43"/>
        <v>-0.428647287825</v>
      </c>
      <c r="Q283">
        <v>74.8</v>
      </c>
      <c r="R283">
        <v>25.497</v>
      </c>
      <c r="S283">
        <f t="shared" si="44"/>
        <v>42.709999999999994</v>
      </c>
      <c r="T283">
        <f>SQRT(O283*O283)*100</f>
        <v>42.864728782500002</v>
      </c>
    </row>
    <row r="284" spans="1:20" x14ac:dyDescent="0.3">
      <c r="A284">
        <v>9821790</v>
      </c>
      <c r="B284">
        <f t="shared" si="36"/>
        <v>0.09</v>
      </c>
      <c r="C284">
        <f t="shared" si="37"/>
        <v>25.587</v>
      </c>
      <c r="D284">
        <v>-0.73</v>
      </c>
      <c r="E284">
        <v>0.04</v>
      </c>
      <c r="F284">
        <v>-0.69</v>
      </c>
      <c r="G284">
        <f t="shared" si="38"/>
        <v>0</v>
      </c>
      <c r="H284">
        <f t="shared" si="39"/>
        <v>0</v>
      </c>
      <c r="I284">
        <f t="shared" si="40"/>
        <v>0</v>
      </c>
      <c r="J284">
        <f>IF(ABS(D284-D283) &gt; $P$2, 1/2*(D284+D283)*9.81*B284 + J283, 0)</f>
        <v>0</v>
      </c>
      <c r="K284">
        <f>IF(ABS(E284-E283) &gt; $P$2, 1/2*(E284+E283)*9.81*B284 + K283, 0)</f>
        <v>0</v>
      </c>
      <c r="L284">
        <f>IF(ABS(F284-F283) &gt; $P$2, 1/2*(F284+F283)*9.81*B284 + L283, 0)</f>
        <v>0</v>
      </c>
      <c r="M284">
        <f t="shared" si="41"/>
        <v>0</v>
      </c>
      <c r="N284">
        <f t="shared" si="42"/>
        <v>0</v>
      </c>
      <c r="O284">
        <f t="shared" si="43"/>
        <v>-0.428647287825</v>
      </c>
      <c r="Q284">
        <v>74.59</v>
      </c>
      <c r="R284">
        <v>25.587</v>
      </c>
      <c r="S284">
        <f t="shared" si="44"/>
        <v>42.5</v>
      </c>
      <c r="T284">
        <f>SQRT(O284*O284)*100</f>
        <v>42.864728782500002</v>
      </c>
    </row>
    <row r="285" spans="1:20" x14ac:dyDescent="0.3">
      <c r="A285">
        <v>9821881</v>
      </c>
      <c r="B285">
        <f t="shared" si="36"/>
        <v>9.0999999999999998E-2</v>
      </c>
      <c r="C285">
        <f t="shared" si="37"/>
        <v>25.678000000000001</v>
      </c>
      <c r="D285">
        <v>-0.73</v>
      </c>
      <c r="E285">
        <v>0.03</v>
      </c>
      <c r="F285">
        <v>-0.7</v>
      </c>
      <c r="G285">
        <f t="shared" si="38"/>
        <v>0</v>
      </c>
      <c r="H285">
        <f t="shared" si="39"/>
        <v>1.0000000000000002E-2</v>
      </c>
      <c r="I285">
        <f t="shared" si="40"/>
        <v>1.0000000000000009E-2</v>
      </c>
      <c r="J285">
        <f>IF(ABS(D285-D284) &gt; $P$2, 1/2*(D285+D284)*9.81*B285 + J284, 0)</f>
        <v>0</v>
      </c>
      <c r="K285">
        <f>IF(ABS(E285-E284) &gt; $P$2, 1/2*(E285+E284)*9.81*B285 + K284, 0)</f>
        <v>0</v>
      </c>
      <c r="L285">
        <f>IF(ABS(F285-F284) &gt; $P$2, 1/2*(F285+F284)*9.81*B285 + L284, 0)</f>
        <v>0</v>
      </c>
      <c r="M285">
        <f t="shared" si="41"/>
        <v>0</v>
      </c>
      <c r="N285">
        <f t="shared" si="42"/>
        <v>0</v>
      </c>
      <c r="O285">
        <f t="shared" si="43"/>
        <v>-0.428647287825</v>
      </c>
      <c r="Q285">
        <v>74.8</v>
      </c>
      <c r="R285">
        <v>25.678000000000001</v>
      </c>
      <c r="S285">
        <f t="shared" si="44"/>
        <v>42.709999999999994</v>
      </c>
      <c r="T285">
        <f>SQRT(O285*O285)*100</f>
        <v>42.864728782500002</v>
      </c>
    </row>
    <row r="286" spans="1:20" x14ac:dyDescent="0.3">
      <c r="A286">
        <v>9821971</v>
      </c>
      <c r="B286">
        <f t="shared" si="36"/>
        <v>0.09</v>
      </c>
      <c r="C286">
        <f t="shared" si="37"/>
        <v>25.768000000000001</v>
      </c>
      <c r="D286">
        <v>-0.73</v>
      </c>
      <c r="E286">
        <v>0.03</v>
      </c>
      <c r="F286">
        <v>-0.7</v>
      </c>
      <c r="G286">
        <f t="shared" si="38"/>
        <v>0</v>
      </c>
      <c r="H286">
        <f t="shared" si="39"/>
        <v>0</v>
      </c>
      <c r="I286">
        <f t="shared" si="40"/>
        <v>0</v>
      </c>
      <c r="J286">
        <f>IF(ABS(D286-D285) &gt; $P$2, 1/2*(D286+D285)*9.81*B286 + J285, 0)</f>
        <v>0</v>
      </c>
      <c r="K286">
        <f>IF(ABS(E286-E285) &gt; $P$2, 1/2*(E286+E285)*9.81*B286 + K285, 0)</f>
        <v>0</v>
      </c>
      <c r="L286">
        <f>IF(ABS(F286-F285) &gt; $P$2, 1/2*(F286+F285)*9.81*B286 + L285, 0)</f>
        <v>0</v>
      </c>
      <c r="M286">
        <f t="shared" si="41"/>
        <v>0</v>
      </c>
      <c r="N286">
        <f t="shared" si="42"/>
        <v>0</v>
      </c>
      <c r="O286">
        <f t="shared" si="43"/>
        <v>-0.428647287825</v>
      </c>
      <c r="Q286">
        <v>74.8</v>
      </c>
      <c r="R286">
        <v>25.768000000000001</v>
      </c>
      <c r="S286">
        <f t="shared" si="44"/>
        <v>42.709999999999994</v>
      </c>
      <c r="T286">
        <f>SQRT(O286*O286)*100</f>
        <v>42.864728782500002</v>
      </c>
    </row>
    <row r="287" spans="1:20" x14ac:dyDescent="0.3">
      <c r="A287">
        <v>9822062</v>
      </c>
      <c r="B287">
        <f t="shared" si="36"/>
        <v>9.0999999999999998E-2</v>
      </c>
      <c r="C287">
        <f t="shared" si="37"/>
        <v>25.859000000000002</v>
      </c>
      <c r="D287">
        <v>-0.73</v>
      </c>
      <c r="E287">
        <v>0.03</v>
      </c>
      <c r="F287">
        <v>-0.7</v>
      </c>
      <c r="G287">
        <f t="shared" si="38"/>
        <v>0</v>
      </c>
      <c r="H287">
        <f t="shared" si="39"/>
        <v>0</v>
      </c>
      <c r="I287">
        <f t="shared" si="40"/>
        <v>0</v>
      </c>
      <c r="J287">
        <f>IF(ABS(D287-D286) &gt; $P$2, 1/2*(D287+D286)*9.81*B287 + J286, 0)</f>
        <v>0</v>
      </c>
      <c r="K287">
        <f>IF(ABS(E287-E286) &gt; $P$2, 1/2*(E287+E286)*9.81*B287 + K286, 0)</f>
        <v>0</v>
      </c>
      <c r="L287">
        <f>IF(ABS(F287-F286) &gt; $P$2, 1/2*(F287+F286)*9.81*B287 + L286, 0)</f>
        <v>0</v>
      </c>
      <c r="M287">
        <f t="shared" si="41"/>
        <v>0</v>
      </c>
      <c r="N287">
        <f t="shared" si="42"/>
        <v>0</v>
      </c>
      <c r="O287">
        <f t="shared" si="43"/>
        <v>-0.428647287825</v>
      </c>
      <c r="Q287">
        <v>74.59</v>
      </c>
      <c r="R287">
        <v>25.859000000000002</v>
      </c>
      <c r="S287">
        <f t="shared" si="44"/>
        <v>42.5</v>
      </c>
      <c r="T287">
        <f>SQRT(O287*O287)*100</f>
        <v>42.864728782500002</v>
      </c>
    </row>
    <row r="288" spans="1:20" x14ac:dyDescent="0.3">
      <c r="A288">
        <v>9822153</v>
      </c>
      <c r="B288">
        <f t="shared" si="36"/>
        <v>9.0999999999999998E-2</v>
      </c>
      <c r="C288">
        <f t="shared" si="37"/>
        <v>25.95</v>
      </c>
      <c r="D288">
        <v>-0.73</v>
      </c>
      <c r="E288">
        <v>0.03</v>
      </c>
      <c r="F288">
        <v>-0.69</v>
      </c>
      <c r="G288">
        <f t="shared" si="38"/>
        <v>0</v>
      </c>
      <c r="H288">
        <f t="shared" si="39"/>
        <v>0</v>
      </c>
      <c r="I288">
        <f t="shared" si="40"/>
        <v>1.0000000000000009E-2</v>
      </c>
      <c r="J288">
        <f>IF(ABS(D288-D287) &gt; $P$2, 1/2*(D288+D287)*9.81*B288 + J287, 0)</f>
        <v>0</v>
      </c>
      <c r="K288">
        <f>IF(ABS(E288-E287) &gt; $P$2, 1/2*(E288+E287)*9.81*B288 + K287, 0)</f>
        <v>0</v>
      </c>
      <c r="L288">
        <f>IF(ABS(F288-F287) &gt; $P$2, 1/2*(F288+F287)*9.81*B288 + L287, 0)</f>
        <v>0</v>
      </c>
      <c r="M288">
        <f t="shared" si="41"/>
        <v>0</v>
      </c>
      <c r="N288">
        <f t="shared" si="42"/>
        <v>0</v>
      </c>
      <c r="O288">
        <f t="shared" si="43"/>
        <v>-0.428647287825</v>
      </c>
      <c r="Q288">
        <v>74.8</v>
      </c>
      <c r="R288">
        <v>25.95</v>
      </c>
      <c r="S288">
        <f t="shared" si="44"/>
        <v>42.709999999999994</v>
      </c>
      <c r="T288">
        <f>SQRT(O288*O288)*100</f>
        <v>42.864728782500002</v>
      </c>
    </row>
    <row r="289" spans="1:20" x14ac:dyDescent="0.3">
      <c r="A289">
        <v>9822243</v>
      </c>
      <c r="B289">
        <f t="shared" si="36"/>
        <v>0.09</v>
      </c>
      <c r="C289">
        <f t="shared" si="37"/>
        <v>26.04</v>
      </c>
      <c r="D289">
        <v>-0.73</v>
      </c>
      <c r="E289">
        <v>0.03</v>
      </c>
      <c r="F289">
        <v>-0.7</v>
      </c>
      <c r="G289">
        <f t="shared" si="38"/>
        <v>0</v>
      </c>
      <c r="H289">
        <f t="shared" si="39"/>
        <v>0</v>
      </c>
      <c r="I289">
        <f t="shared" si="40"/>
        <v>1.0000000000000009E-2</v>
      </c>
      <c r="J289">
        <f>IF(ABS(D289-D288) &gt; $P$2, 1/2*(D289+D288)*9.81*B289 + J288, 0)</f>
        <v>0</v>
      </c>
      <c r="K289">
        <f>IF(ABS(E289-E288) &gt; $P$2, 1/2*(E289+E288)*9.81*B289 + K288, 0)</f>
        <v>0</v>
      </c>
      <c r="L289">
        <f>IF(ABS(F289-F288) &gt; $P$2, 1/2*(F289+F288)*9.81*B289 + L288, 0)</f>
        <v>0</v>
      </c>
      <c r="M289">
        <f t="shared" si="41"/>
        <v>0</v>
      </c>
      <c r="N289">
        <f t="shared" si="42"/>
        <v>0</v>
      </c>
      <c r="O289">
        <f t="shared" si="43"/>
        <v>-0.428647287825</v>
      </c>
      <c r="Q289">
        <v>75</v>
      </c>
      <c r="R289">
        <v>26.04</v>
      </c>
      <c r="S289">
        <f t="shared" si="44"/>
        <v>42.91</v>
      </c>
      <c r="T289">
        <f>SQRT(O289*O289)*100</f>
        <v>42.864728782500002</v>
      </c>
    </row>
    <row r="290" spans="1:20" x14ac:dyDescent="0.3">
      <c r="A290">
        <v>9822334</v>
      </c>
      <c r="B290">
        <f t="shared" si="36"/>
        <v>9.0999999999999998E-2</v>
      </c>
      <c r="C290">
        <f t="shared" si="37"/>
        <v>26.131</v>
      </c>
      <c r="D290">
        <v>-0.73</v>
      </c>
      <c r="E290">
        <v>0.03</v>
      </c>
      <c r="F290">
        <v>-0.7</v>
      </c>
      <c r="G290">
        <f t="shared" si="38"/>
        <v>0</v>
      </c>
      <c r="H290">
        <f t="shared" si="39"/>
        <v>0</v>
      </c>
      <c r="I290">
        <f t="shared" si="40"/>
        <v>0</v>
      </c>
      <c r="J290">
        <f>IF(ABS(D290-D289) &gt; $P$2, 1/2*(D290+D289)*9.81*B290 + J289, 0)</f>
        <v>0</v>
      </c>
      <c r="K290">
        <f>IF(ABS(E290-E289) &gt; $P$2, 1/2*(E290+E289)*9.81*B290 + K289, 0)</f>
        <v>0</v>
      </c>
      <c r="L290">
        <f>IF(ABS(F290-F289) &gt; $P$2, 1/2*(F290+F289)*9.81*B290 + L289, 0)</f>
        <v>0</v>
      </c>
      <c r="M290">
        <f t="shared" si="41"/>
        <v>0</v>
      </c>
      <c r="N290">
        <f t="shared" si="42"/>
        <v>0</v>
      </c>
      <c r="O290">
        <f t="shared" si="43"/>
        <v>-0.428647287825</v>
      </c>
      <c r="Q290">
        <v>74.8</v>
      </c>
      <c r="R290">
        <v>26.131</v>
      </c>
      <c r="S290">
        <f t="shared" si="44"/>
        <v>42.709999999999994</v>
      </c>
      <c r="T290">
        <f>SQRT(O290*O290)*100</f>
        <v>42.864728782500002</v>
      </c>
    </row>
    <row r="291" spans="1:20" x14ac:dyDescent="0.3">
      <c r="A291">
        <v>9822425</v>
      </c>
      <c r="B291">
        <f t="shared" si="36"/>
        <v>9.0999999999999998E-2</v>
      </c>
      <c r="C291">
        <f t="shared" si="37"/>
        <v>26.222000000000001</v>
      </c>
      <c r="D291">
        <v>-0.74</v>
      </c>
      <c r="E291">
        <v>0.03</v>
      </c>
      <c r="F291">
        <v>-0.7</v>
      </c>
      <c r="G291">
        <f t="shared" si="38"/>
        <v>1.0000000000000009E-2</v>
      </c>
      <c r="H291">
        <f t="shared" si="39"/>
        <v>0</v>
      </c>
      <c r="I291">
        <f t="shared" si="40"/>
        <v>0</v>
      </c>
      <c r="J291">
        <f>IF(ABS(D291-D290) &gt; $P$2, 1/2*(D291+D290)*9.81*B291 + J290, 0)</f>
        <v>0</v>
      </c>
      <c r="K291">
        <f>IF(ABS(E291-E290) &gt; $P$2, 1/2*(E291+E290)*9.81*B291 + K290, 0)</f>
        <v>0</v>
      </c>
      <c r="L291">
        <f>IF(ABS(F291-F290) &gt; $P$2, 1/2*(F291+F290)*9.81*B291 + L290, 0)</f>
        <v>0</v>
      </c>
      <c r="M291">
        <f t="shared" si="41"/>
        <v>0</v>
      </c>
      <c r="N291">
        <f t="shared" si="42"/>
        <v>0</v>
      </c>
      <c r="O291">
        <f t="shared" si="43"/>
        <v>-0.428647287825</v>
      </c>
      <c r="Q291">
        <v>74.8</v>
      </c>
      <c r="R291">
        <v>26.222000000000001</v>
      </c>
      <c r="S291">
        <f t="shared" si="44"/>
        <v>42.709999999999994</v>
      </c>
      <c r="T291">
        <f>SQRT(O291*O291)*100</f>
        <v>42.864728782500002</v>
      </c>
    </row>
    <row r="292" spans="1:20" x14ac:dyDescent="0.3">
      <c r="A292">
        <v>9822516</v>
      </c>
      <c r="B292">
        <f t="shared" si="36"/>
        <v>9.0999999999999998E-2</v>
      </c>
      <c r="C292">
        <f t="shared" si="37"/>
        <v>26.312999999999999</v>
      </c>
      <c r="D292">
        <v>-0.73</v>
      </c>
      <c r="E292">
        <v>0.03</v>
      </c>
      <c r="F292">
        <v>-0.7</v>
      </c>
      <c r="G292">
        <f t="shared" si="38"/>
        <v>1.0000000000000009E-2</v>
      </c>
      <c r="H292">
        <f t="shared" si="39"/>
        <v>0</v>
      </c>
      <c r="I292">
        <f t="shared" si="40"/>
        <v>0</v>
      </c>
      <c r="J292">
        <f>IF(ABS(D292-D291) &gt; $P$2, 1/2*(D292+D291)*9.81*B292 + J291, 0)</f>
        <v>0</v>
      </c>
      <c r="K292">
        <f>IF(ABS(E292-E291) &gt; $P$2, 1/2*(E292+E291)*9.81*B292 + K291, 0)</f>
        <v>0</v>
      </c>
      <c r="L292">
        <f>IF(ABS(F292-F291) &gt; $P$2, 1/2*(F292+F291)*9.81*B292 + L291, 0)</f>
        <v>0</v>
      </c>
      <c r="M292">
        <f t="shared" si="41"/>
        <v>0</v>
      </c>
      <c r="N292">
        <f t="shared" si="42"/>
        <v>0</v>
      </c>
      <c r="O292">
        <f t="shared" si="43"/>
        <v>-0.428647287825</v>
      </c>
      <c r="Q292">
        <v>74.59</v>
      </c>
      <c r="R292">
        <v>26.312999999999999</v>
      </c>
      <c r="S292">
        <f t="shared" si="44"/>
        <v>42.5</v>
      </c>
      <c r="T292">
        <f>SQRT(O292*O292)*100</f>
        <v>42.864728782500002</v>
      </c>
    </row>
    <row r="293" spans="1:20" x14ac:dyDescent="0.3">
      <c r="A293">
        <v>9822607</v>
      </c>
      <c r="B293">
        <f t="shared" si="36"/>
        <v>9.0999999999999998E-2</v>
      </c>
      <c r="C293">
        <f t="shared" si="37"/>
        <v>26.404</v>
      </c>
      <c r="D293">
        <v>-0.73</v>
      </c>
      <c r="E293">
        <v>0.03</v>
      </c>
      <c r="F293">
        <v>-0.69</v>
      </c>
      <c r="G293">
        <f t="shared" si="38"/>
        <v>0</v>
      </c>
      <c r="H293">
        <f t="shared" si="39"/>
        <v>0</v>
      </c>
      <c r="I293">
        <f t="shared" si="40"/>
        <v>1.0000000000000009E-2</v>
      </c>
      <c r="J293">
        <f>IF(ABS(D293-D292) &gt; $P$2, 1/2*(D293+D292)*9.81*B293 + J292, 0)</f>
        <v>0</v>
      </c>
      <c r="K293">
        <f>IF(ABS(E293-E292) &gt; $P$2, 1/2*(E293+E292)*9.81*B293 + K292, 0)</f>
        <v>0</v>
      </c>
      <c r="L293">
        <f>IF(ABS(F293-F292) &gt; $P$2, 1/2*(F293+F292)*9.81*B293 + L292, 0)</f>
        <v>0</v>
      </c>
      <c r="M293">
        <f t="shared" si="41"/>
        <v>0</v>
      </c>
      <c r="N293">
        <f t="shared" si="42"/>
        <v>0</v>
      </c>
      <c r="O293">
        <f t="shared" si="43"/>
        <v>-0.428647287825</v>
      </c>
      <c r="Q293">
        <v>74.8</v>
      </c>
      <c r="R293">
        <v>26.404</v>
      </c>
      <c r="S293">
        <f t="shared" si="44"/>
        <v>42.709999999999994</v>
      </c>
      <c r="T293">
        <f>SQRT(O293*O293)*100</f>
        <v>42.864728782500002</v>
      </c>
    </row>
    <row r="294" spans="1:20" x14ac:dyDescent="0.3">
      <c r="A294">
        <v>9822697</v>
      </c>
      <c r="B294">
        <f t="shared" si="36"/>
        <v>0.09</v>
      </c>
      <c r="C294">
        <f t="shared" si="37"/>
        <v>26.494</v>
      </c>
      <c r="D294">
        <v>-0.73</v>
      </c>
      <c r="E294">
        <v>0.03</v>
      </c>
      <c r="F294">
        <v>-0.7</v>
      </c>
      <c r="G294">
        <f>ABS(D294-D293)</f>
        <v>0</v>
      </c>
      <c r="H294">
        <f t="shared" si="39"/>
        <v>0</v>
      </c>
      <c r="I294">
        <f t="shared" si="40"/>
        <v>1.0000000000000009E-2</v>
      </c>
      <c r="J294">
        <f>IF(ABS(D294-D293) &gt; $P$2, 1/2*(D294+D293)*9.81*B294 + J293, 0)</f>
        <v>0</v>
      </c>
      <c r="K294">
        <f>IF(ABS(E294-E293) &gt; $P$2, 1/2*(E294+E293)*9.81*B294 + K293, 0)</f>
        <v>0</v>
      </c>
      <c r="L294">
        <f>IF(ABS(F294-F293) &gt; $P$2, 1/2*(F294+F293)*9.81*B294 + L293, 0)</f>
        <v>0</v>
      </c>
      <c r="M294">
        <f t="shared" si="41"/>
        <v>0</v>
      </c>
      <c r="N294">
        <f t="shared" si="42"/>
        <v>0</v>
      </c>
      <c r="O294">
        <f t="shared" si="43"/>
        <v>-0.428647287825</v>
      </c>
      <c r="Q294">
        <v>74.8</v>
      </c>
      <c r="R294">
        <v>26.494</v>
      </c>
      <c r="S294">
        <f t="shared" si="44"/>
        <v>42.709999999999994</v>
      </c>
      <c r="T294">
        <f>SQRT(O294*O294)*100</f>
        <v>42.864728782500002</v>
      </c>
    </row>
    <row r="295" spans="1:20" x14ac:dyDescent="0.3">
      <c r="A295">
        <v>9822788</v>
      </c>
      <c r="B295">
        <f t="shared" si="36"/>
        <v>9.0999999999999998E-2</v>
      </c>
      <c r="C295">
        <f t="shared" si="37"/>
        <v>26.585000000000001</v>
      </c>
      <c r="D295">
        <v>-0.73</v>
      </c>
      <c r="E295">
        <v>0.03</v>
      </c>
      <c r="F295">
        <v>-0.7</v>
      </c>
      <c r="G295">
        <f t="shared" ref="G295:G301" si="45">ABS(D295-D294)</f>
        <v>0</v>
      </c>
      <c r="H295">
        <f t="shared" si="39"/>
        <v>0</v>
      </c>
      <c r="I295">
        <f t="shared" si="40"/>
        <v>0</v>
      </c>
      <c r="J295">
        <f>IF(ABS(D295-D294) &gt; $P$2, 1/2*(D295+D294)*9.81*B295 + J294, 0)</f>
        <v>0</v>
      </c>
      <c r="K295">
        <f>IF(ABS(E295-E294) &gt; $P$2, 1/2*(E295+E294)*9.81*B295 + K294, 0)</f>
        <v>0</v>
      </c>
      <c r="L295">
        <f>IF(ABS(F295-F294) &gt; $P$2, 1/2*(F295+F294)*9.81*B295 + L294, 0)</f>
        <v>0</v>
      </c>
      <c r="M295">
        <f t="shared" si="41"/>
        <v>0</v>
      </c>
      <c r="N295">
        <f t="shared" si="42"/>
        <v>0</v>
      </c>
      <c r="O295">
        <f t="shared" si="43"/>
        <v>-0.428647287825</v>
      </c>
      <c r="Q295">
        <v>74.8</v>
      </c>
      <c r="R295">
        <v>26.585000000000001</v>
      </c>
      <c r="S295">
        <f t="shared" si="44"/>
        <v>42.709999999999994</v>
      </c>
      <c r="T295">
        <f>SQRT(O295*O295)*100</f>
        <v>42.864728782500002</v>
      </c>
    </row>
    <row r="296" spans="1:20" x14ac:dyDescent="0.3">
      <c r="A296">
        <v>9822878</v>
      </c>
      <c r="B296">
        <f t="shared" si="36"/>
        <v>0.09</v>
      </c>
      <c r="C296">
        <f t="shared" si="37"/>
        <v>26.675000000000001</v>
      </c>
      <c r="D296">
        <v>-0.73</v>
      </c>
      <c r="E296">
        <v>0.04</v>
      </c>
      <c r="F296">
        <v>-0.7</v>
      </c>
      <c r="G296">
        <f t="shared" si="45"/>
        <v>0</v>
      </c>
      <c r="H296">
        <f t="shared" si="39"/>
        <v>1.0000000000000002E-2</v>
      </c>
      <c r="I296">
        <f t="shared" si="40"/>
        <v>0</v>
      </c>
      <c r="J296">
        <f>IF(ABS(D296-D295) &gt; $P$2, 1/2*(D296+D295)*9.81*B296 + J295, 0)</f>
        <v>0</v>
      </c>
      <c r="K296">
        <f>IF(ABS(E296-E295) &gt; $P$2, 1/2*(E296+E295)*9.81*B296 + K295, 0)</f>
        <v>0</v>
      </c>
      <c r="L296">
        <f>IF(ABS(F296-F295) &gt; $P$2, 1/2*(F296+F295)*9.81*B296 + L295, 0)</f>
        <v>0</v>
      </c>
      <c r="M296">
        <f t="shared" si="41"/>
        <v>0</v>
      </c>
      <c r="N296">
        <f t="shared" si="42"/>
        <v>0</v>
      </c>
      <c r="O296">
        <f t="shared" si="43"/>
        <v>-0.428647287825</v>
      </c>
      <c r="Q296">
        <v>75</v>
      </c>
      <c r="R296">
        <v>26.675000000000001</v>
      </c>
      <c r="S296">
        <f t="shared" si="44"/>
        <v>42.91</v>
      </c>
      <c r="T296">
        <f>SQRT(O296*O296)*100</f>
        <v>42.864728782500002</v>
      </c>
    </row>
    <row r="297" spans="1:20" x14ac:dyDescent="0.3">
      <c r="A297">
        <v>9822969</v>
      </c>
      <c r="B297">
        <f t="shared" si="36"/>
        <v>9.0999999999999998E-2</v>
      </c>
      <c r="C297">
        <f t="shared" si="37"/>
        <v>26.765999999999998</v>
      </c>
      <c r="D297">
        <v>-0.72</v>
      </c>
      <c r="E297">
        <v>0.03</v>
      </c>
      <c r="F297">
        <v>-0.7</v>
      </c>
      <c r="G297">
        <f t="shared" si="45"/>
        <v>1.0000000000000009E-2</v>
      </c>
      <c r="H297">
        <f t="shared" si="39"/>
        <v>1.0000000000000002E-2</v>
      </c>
      <c r="I297">
        <f t="shared" si="40"/>
        <v>0</v>
      </c>
      <c r="J297">
        <f>IF(ABS(D297-D296) &gt; $P$2, 1/2*(D297+D296)*9.81*B297 + J296, 0)</f>
        <v>0</v>
      </c>
      <c r="K297">
        <f>IF(ABS(E297-E296) &gt; $P$2, 1/2*(E297+E296)*9.81*B297 + K296, 0)</f>
        <v>0</v>
      </c>
      <c r="L297">
        <f>IF(ABS(F297-F296) &gt; $P$2, 1/2*(F297+F296)*9.81*B297 + L296, 0)</f>
        <v>0</v>
      </c>
      <c r="M297">
        <f t="shared" si="41"/>
        <v>0</v>
      </c>
      <c r="N297">
        <f t="shared" si="42"/>
        <v>0</v>
      </c>
      <c r="O297">
        <f t="shared" si="43"/>
        <v>-0.428647287825</v>
      </c>
      <c r="Q297">
        <v>75</v>
      </c>
      <c r="R297">
        <v>26.765999999999998</v>
      </c>
      <c r="S297">
        <f t="shared" si="44"/>
        <v>42.91</v>
      </c>
      <c r="T297">
        <f>SQRT(O297*O297)*100</f>
        <v>42.864728782500002</v>
      </c>
    </row>
    <row r="298" spans="1:20" x14ac:dyDescent="0.3">
      <c r="A298">
        <v>9823060</v>
      </c>
      <c r="B298">
        <f t="shared" si="36"/>
        <v>9.0999999999999998E-2</v>
      </c>
      <c r="C298">
        <f t="shared" si="37"/>
        <v>26.856999999999999</v>
      </c>
      <c r="D298">
        <v>-0.73</v>
      </c>
      <c r="E298">
        <v>0.03</v>
      </c>
      <c r="F298">
        <v>-0.69</v>
      </c>
      <c r="G298">
        <f t="shared" si="45"/>
        <v>1.0000000000000009E-2</v>
      </c>
      <c r="H298">
        <f t="shared" si="39"/>
        <v>0</v>
      </c>
      <c r="I298">
        <f t="shared" si="40"/>
        <v>1.0000000000000009E-2</v>
      </c>
      <c r="J298">
        <f>IF(ABS(D298-D297) &gt; $P$2, 1/2*(D298+D297)*9.81*B298 + J297, 0)</f>
        <v>0</v>
      </c>
      <c r="K298">
        <f>IF(ABS(E298-E297) &gt; $P$2, 1/2*(E298+E297)*9.81*B298 + K297, 0)</f>
        <v>0</v>
      </c>
      <c r="L298">
        <f>IF(ABS(F298-F297) &gt; $P$2, 1/2*(F298+F297)*9.81*B298 + L297, 0)</f>
        <v>0</v>
      </c>
      <c r="M298">
        <f t="shared" si="41"/>
        <v>0</v>
      </c>
      <c r="N298">
        <f t="shared" si="42"/>
        <v>0</v>
      </c>
      <c r="O298">
        <f t="shared" si="43"/>
        <v>-0.428647287825</v>
      </c>
      <c r="Q298">
        <v>74.8</v>
      </c>
      <c r="R298">
        <v>26.856999999999999</v>
      </c>
      <c r="S298">
        <f t="shared" si="44"/>
        <v>42.709999999999994</v>
      </c>
      <c r="T298">
        <f>SQRT(O298*O298)*100</f>
        <v>42.864728782500002</v>
      </c>
    </row>
    <row r="299" spans="1:20" x14ac:dyDescent="0.3">
      <c r="A299">
        <v>9823151</v>
      </c>
      <c r="B299">
        <f t="shared" si="36"/>
        <v>9.0999999999999998E-2</v>
      </c>
      <c r="C299">
        <f t="shared" si="37"/>
        <v>26.948</v>
      </c>
      <c r="D299">
        <v>-0.73</v>
      </c>
      <c r="E299">
        <v>0.04</v>
      </c>
      <c r="F299">
        <v>-0.69</v>
      </c>
      <c r="G299">
        <f t="shared" si="45"/>
        <v>0</v>
      </c>
      <c r="H299">
        <f t="shared" si="39"/>
        <v>1.0000000000000002E-2</v>
      </c>
      <c r="I299">
        <f t="shared" si="40"/>
        <v>0</v>
      </c>
      <c r="J299">
        <f>IF(ABS(D299-D298) &gt; $P$2, 1/2*(D299+D298)*9.81*B299 + J298, 0)</f>
        <v>0</v>
      </c>
      <c r="K299">
        <f>IF(ABS(E299-E298) &gt; $P$2, 1/2*(E299+E298)*9.81*B299 + K298, 0)</f>
        <v>0</v>
      </c>
      <c r="L299">
        <f>IF(ABS(F299-F298) &gt; $P$2, 1/2*(F299+F298)*9.81*B299 + L298, 0)</f>
        <v>0</v>
      </c>
      <c r="M299">
        <f t="shared" si="41"/>
        <v>0</v>
      </c>
      <c r="N299">
        <f t="shared" si="42"/>
        <v>0</v>
      </c>
      <c r="O299">
        <f t="shared" si="43"/>
        <v>-0.428647287825</v>
      </c>
      <c r="Q299">
        <v>75.63</v>
      </c>
      <c r="R299">
        <v>26.948</v>
      </c>
      <c r="S299">
        <f t="shared" si="44"/>
        <v>43.539999999999992</v>
      </c>
      <c r="T299">
        <f>SQRT(O299*O299)*100</f>
        <v>42.864728782500002</v>
      </c>
    </row>
    <row r="300" spans="1:20" x14ac:dyDescent="0.3">
      <c r="A300">
        <v>9823242</v>
      </c>
      <c r="B300">
        <f t="shared" si="36"/>
        <v>9.0999999999999998E-2</v>
      </c>
      <c r="C300">
        <f t="shared" si="37"/>
        <v>27.039000000000001</v>
      </c>
      <c r="D300">
        <v>-0.73</v>
      </c>
      <c r="E300">
        <v>0.03</v>
      </c>
      <c r="F300">
        <v>-0.69</v>
      </c>
      <c r="G300">
        <f t="shared" si="45"/>
        <v>0</v>
      </c>
      <c r="H300">
        <f t="shared" si="39"/>
        <v>1.0000000000000002E-2</v>
      </c>
      <c r="I300">
        <f t="shared" si="40"/>
        <v>0</v>
      </c>
      <c r="J300">
        <f>IF(ABS(D300-D299) &gt; $P$2, 1/2*(D300+D299)*9.81*B300 + J299, 0)</f>
        <v>0</v>
      </c>
      <c r="K300">
        <f>IF(ABS(E300-E299) &gt; $P$2, 1/2*(E300+E299)*9.81*B300 + K299, 0)</f>
        <v>0</v>
      </c>
      <c r="L300">
        <f>IF(ABS(F300-F299) &gt; $P$2, 1/2*(F300+F299)*9.81*B300 + L299, 0)</f>
        <v>0</v>
      </c>
      <c r="M300">
        <f t="shared" si="41"/>
        <v>0</v>
      </c>
      <c r="N300">
        <f t="shared" si="42"/>
        <v>0</v>
      </c>
      <c r="O300">
        <f t="shared" si="43"/>
        <v>-0.428647287825</v>
      </c>
      <c r="Q300">
        <v>74.8</v>
      </c>
      <c r="R300">
        <v>27.039000000000001</v>
      </c>
      <c r="S300">
        <f t="shared" si="44"/>
        <v>42.709999999999994</v>
      </c>
      <c r="T300">
        <f>SQRT(O300*O300)*100</f>
        <v>42.864728782500002</v>
      </c>
    </row>
    <row r="301" spans="1:20" x14ac:dyDescent="0.3">
      <c r="A301">
        <v>9823332</v>
      </c>
      <c r="B301">
        <f t="shared" si="36"/>
        <v>0.09</v>
      </c>
      <c r="C301">
        <f t="shared" si="37"/>
        <v>27.129000000000001</v>
      </c>
      <c r="D301">
        <v>-0.73</v>
      </c>
      <c r="E301">
        <v>0.03</v>
      </c>
      <c r="F301">
        <v>-0.69</v>
      </c>
      <c r="G301">
        <f t="shared" si="45"/>
        <v>0</v>
      </c>
      <c r="H301">
        <f t="shared" si="39"/>
        <v>0</v>
      </c>
      <c r="I301">
        <f t="shared" si="40"/>
        <v>0</v>
      </c>
      <c r="J301">
        <f>IF(ABS(D301-D300) &gt; $P$2, 1/2*(D301+D300)*9.81*B301 + J300, 0)</f>
        <v>0</v>
      </c>
      <c r="K301">
        <f>IF(ABS(E301-E300) &gt; $P$2, 1/2*(E301+E300)*9.81*B301 + K300, 0)</f>
        <v>0</v>
      </c>
      <c r="L301">
        <f>IF(ABS(F301-F300) &gt; $P$2, 1/2*(F301+F300)*9.81*B301 + L300, 0)</f>
        <v>0</v>
      </c>
      <c r="M301">
        <f t="shared" si="41"/>
        <v>0</v>
      </c>
      <c r="N301">
        <f t="shared" si="42"/>
        <v>0</v>
      </c>
      <c r="O301">
        <f t="shared" si="43"/>
        <v>-0.428647287825</v>
      </c>
      <c r="Q301">
        <v>74.8</v>
      </c>
      <c r="R301">
        <v>27.129000000000001</v>
      </c>
      <c r="S301">
        <f t="shared" si="44"/>
        <v>42.709999999999994</v>
      </c>
      <c r="T301">
        <f>SQRT(O301*O301)*100</f>
        <v>42.864728782500002</v>
      </c>
    </row>
    <row r="302" spans="1:20" x14ac:dyDescent="0.3">
      <c r="F302" t="s">
        <v>19</v>
      </c>
      <c r="G302">
        <f>_xlfn.STDEV.S(G2:G301)</f>
        <v>5.5946303289207177E-3</v>
      </c>
      <c r="H302">
        <f>_xlfn.STDEV.S(H2:H301)</f>
        <v>5.0190273411792607E-3</v>
      </c>
      <c r="I302">
        <f>_xlfn.STDEV.S(I2:I301)</f>
        <v>6.628457954117096E-3</v>
      </c>
    </row>
    <row r="303" spans="1:20" x14ac:dyDescent="0.3">
      <c r="F303" t="s">
        <v>18</v>
      </c>
      <c r="G303">
        <f>SUM(G302:I302)</f>
        <v>1.7242115624217073E-2</v>
      </c>
    </row>
    <row r="304" spans="1:20" x14ac:dyDescent="0.3">
      <c r="F304" t="s">
        <v>15</v>
      </c>
      <c r="G304" s="1">
        <f>1.5*G303</f>
        <v>2.5863173436325611E-2</v>
      </c>
    </row>
    <row r="311" spans="9:9" x14ac:dyDescent="0.3">
      <c r="I31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2024-04-26T08:49:50Z</dcterms:created>
  <dcterms:modified xsi:type="dcterms:W3CDTF">2026-06-19T11:08:10Z</dcterms:modified>
</cp:coreProperties>
</file>